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293ae5975b4e57" /></Relationships>
</file>

<file path=xl/workbook.xml><?xml version="1.0" encoding="utf-8"?>
<x:workbook xmlns:x="http://schemas.openxmlformats.org/spreadsheetml/2006/main">
  <x:sheets>
    <x:sheet xmlns:r="http://schemas.openxmlformats.org/officeDocument/2006/relationships" name="Summary" sheetId="1" r:id="R22e110fb636741c4"/>
    <x:sheet xmlns:r="http://schemas.openxmlformats.org/officeDocument/2006/relationships" name="Kinjo Audit Checklist" sheetId="2" r:id="Rafd35cff417d4f55"/>
    <x:sheet xmlns:r="http://schemas.openxmlformats.org/officeDocument/2006/relationships" name="Full GWS Checklist" sheetId="3" r:id="R38fb8b0efc4b4cf2"/>
    <x:sheet xmlns:r="http://schemas.openxmlformats.org/officeDocument/2006/relationships" name="Project Evidence Map" sheetId="4" r:id="R88e1d93595f242ed"/>
    <x:sheet xmlns:r="http://schemas.openxmlformats.org/officeDocument/2006/relationships" name="Sources and How to Use" sheetId="5" r:id="Rc1dbb420cb27427a"/>
    <x:sheet xmlns:r="http://schemas.openxmlformats.org/officeDocument/2006/relationships" name="Lists" sheetId="6" r:id="R90a75d34eca248e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0F766E"/>
      </x:patternFill>
    </x:fill>
    <x:fill>
      <x:patternFill patternType="solid">
        <x:fgColor rgb="FF134E4A"/>
      </x:patternFill>
    </x:fill>
  </x:fills>
  <x:borders count="2">
    <x:border/>
    <x:border/>
  </x:borders>
  <x:cellStyleXfs count="1">
    <x:xf numFmtId="0" fontId="0" fillId="0" borderId="0"/>
  </x:cellStyleXfs>
  <x:cellXfs count="2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1" fillId="3" borderId="0" xfId="0" applyNumberFormat="1" applyFont="1" applyFill="1" applyBorder="1"/>
    <x:xf numFmtId="0" fontId="0" fillId="3" borderId="1"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200" fontId="0" fillId="0" borderId="0" xfId="0" applyNumberFormat="1" applyFont="1" applyFill="1" applyBorder="1" applyAlignment="1">
      <x:alignment wrapText="1"/>
    </x:xf>
  </x:cellXfs>
  <x:cellStyles count="1">
    <x:cellStyle name="Normal" xfId="0"/>
  </x:cellStyles>
  <x:dxfs count="8">
    <x:dxf>
      <x:fill>
        <x:patternFill patternType="solid">
          <x:bgColor rgb="FFDCFCE7"/>
        </x:patternFill>
      </x:fill>
    </x:dxf>
    <x:dxf>
      <x:fill>
        <x:patternFill patternType="solid">
          <x:bgColor rgb="FFFEF3C7"/>
        </x:patternFill>
      </x:fill>
    </x:dxf>
    <x:dxf>
      <x:fill>
        <x:patternFill patternType="solid">
          <x:bgColor rgb="FFFECACA"/>
        </x:patternFill>
      </x:fill>
    </x:dxf>
    <x:dxf>
      <x:fill>
        <x:patternFill patternType="solid">
          <x:bgColor rgb="FFE0E7FF"/>
        </x:patternFill>
      </x:fill>
    </x:dxf>
    <x:dxf>
      <x:fill>
        <x:patternFill patternType="solid">
          <x:bgColor rgb="FFDCFCE7"/>
        </x:patternFill>
      </x:fill>
    </x:dxf>
    <x:dxf>
      <x:fill>
        <x:patternFill patternType="solid">
          <x:bgColor rgb="FFFEF3C7"/>
        </x:patternFill>
      </x:fill>
    </x:dxf>
    <x:dxf>
      <x:fill>
        <x:patternFill patternType="solid">
          <x:bgColor rgb="FFFECACA"/>
        </x:patternFill>
      </x:fill>
    </x:dxf>
    <x:dxf>
      <x:fill>
        <x:patternFill patternType="solid">
          <x:bgColor rgb="FFE0E7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c110d1fb1b34807" /><Relationship Type="http://schemas.openxmlformats.org/officeDocument/2006/relationships/theme" Target="/xl/theme/theme1.xml" Id="R4004805ebd5543e1" /><Relationship Type="http://schemas.openxmlformats.org/officeDocument/2006/relationships/sharedStrings" Target="/xl/sharedStrings.xml" Id="Rd759b39eff974432" /><Relationship Type="http://schemas.openxmlformats.org/officeDocument/2006/relationships/worksheet" Target="/xl/worksheets/sheet1.xml" Id="R22e110fb636741c4" /><Relationship Type="http://schemas.openxmlformats.org/officeDocument/2006/relationships/worksheet" Target="/xl/worksheets/sheet2.xml" Id="Rafd35cff417d4f55" /><Relationship Type="http://schemas.openxmlformats.org/officeDocument/2006/relationships/worksheet" Target="/xl/worksheets/sheet3.xml" Id="R38fb8b0efc4b4cf2" /><Relationship Type="http://schemas.openxmlformats.org/officeDocument/2006/relationships/worksheet" Target="/xl/worksheets/sheet4.xml" Id="R88e1d93595f242ed" /><Relationship Type="http://schemas.openxmlformats.org/officeDocument/2006/relationships/worksheet" Target="/xl/worksheets/sheet5.xml" Id="Rc1dbb420cb27427a" /><Relationship Type="http://schemas.openxmlformats.org/officeDocument/2006/relationships/worksheet" Target="/xl/worksheets/sheet6.xml" Id="R90a75d34eca248e6" /></Relationships>
</file>

<file path=xl/tables/table1.xml><?xml version="1.0" encoding="utf-8"?>
<x:table xmlns:x="http://schemas.openxmlformats.org/spreadsheetml/2006/main" id="1" name="KinjoAuditTable" displayName="KinjoAuditTable" ref="A1:K94" headerRowCount="1">
  <x:tableColumns count="11">
    <x:tableColumn id="1" name="ID"/>
    <x:tableColumn id="2" name="Category"/>
    <x:tableColumn id="3" name="Requirement"/>
    <x:tableColumn id="4" name="Evidence to check in D:\Final Version"/>
    <x:tableColumn id="5" name="How to verify"/>
    <x:tableColumn id="6" name="Priority"/>
    <x:tableColumn id="7" name="Phase"/>
    <x:tableColumn id="8" name="Status"/>
    <x:tableColumn id="9" name="Evidence / Notes"/>
    <x:tableColumn id="10" name="Mismatch / Gap"/>
    <x:tableColumn id="11" name="Next action / Owner"/>
  </x:tableColumns>
  <x:tableStyleInfo name="TableStyleMedium2" showRowStripes="1"/>
</x:table>
</file>

<file path=xl/tables/table2.xml><?xml version="1.0" encoding="utf-8"?>
<x:table xmlns:x="http://schemas.openxmlformats.org/spreadsheetml/2006/main" id="2" name="FullGWSTable" displayName="FullGWSTable" ref="A1:K301" headerRowCount="1">
  <x:tableColumns count="11">
    <x:tableColumn id="1" name="ID"/>
    <x:tableColumn id="2" name="Component"/>
    <x:tableColumn id="3" name="Guideline section"/>
    <x:tableColumn id="4" name="Original item #"/>
    <x:tableColumn id="5" name="Checklist item"/>
    <x:tableColumn id="6" name="Source document"/>
    <x:tableColumn id="7" name="Status"/>
    <x:tableColumn id="8" name="Evidence / Notes"/>
    <x:tableColumn id="9" name="Mismatch / Gap"/>
    <x:tableColumn id="10" name="Owner"/>
    <x:tableColumn id="11" name="Next ac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dbaf6d6b90e48eb" /></Relationships>
</file>

<file path=xl/worksheets/_rels/sheet3.xml.rels>&#65279;<?xml version="1.0" encoding="utf-8"?><Relationships xmlns="http://schemas.openxmlformats.org/package/2006/relationships"><Relationship Type="http://schemas.openxmlformats.org/officeDocument/2006/relationships/table" Target="/xl/tables/table2.xml" Id="R9645a240f02b4938" /></Relationships>
</file>

<file path=xl/worksheets/sheet1.xml><?xml version="1.0" encoding="utf-8"?>
<x:worksheet xmlns:x="http://schemas.openxmlformats.org/spreadsheetml/2006/main">
  <x:sheetFormatPr defaultRowHeight="15"/>
  <x:cols>
    <x:col min="1" max="1" width="34" hidden="0" customWidth="1"/>
    <x:col min="2" max="2" width="24" hidden="0" customWidth="1"/>
    <x:col min="3" max="3" width="24" hidden="0" customWidth="1"/>
  </x:cols>
  <x:sheetData>
    <x:row r="1" ht="28" customHeight="1">
      <x:c r="A1" s="6" t="str">
        <x:v>Kinjo Audit Summary</x:v>
      </x:c>
      <x:c r="B1" s="6" t="str"/>
      <x:c r="C1" s="6"/>
    </x:row>
    <x:row r="2">
      <x:c r="A2" s="7" t="str">
        <x:v>Project path</x:v>
      </x:c>
      <x:c r="B2" s="7" t="str">
        <x:v>D:\Final Version</x:v>
      </x:c>
      <x:c r="C2" s="7"/>
    </x:row>
    <x:row r="3">
      <x:c r="A3" s="7" t="str">
        <x:v>Checklist source</x:v>
      </x:c>
      <x:c r="B3" s="7" t="str">
        <x:v>Uploaded Government_Implementation_FrameWork.zip</x:v>
      </x:c>
      <x:c r="C3" s="7"/>
    </x:row>
    <x:row r="4">
      <x:c r="A4" s="7" t="str">
        <x:v>Primary checklist rows</x:v>
      </x:c>
      <x:c r="B4" s="7" t="n">
        <x:v>93</x:v>
      </x:c>
      <x:c r="C4" s="7"/>
    </x:row>
    <x:row r="5">
      <x:c r="A5" s="7" t="str">
        <x:v>Full GWS checklist rows</x:v>
      </x:c>
      <x:c r="B5" s="7" t="n">
        <x:v>300</x:v>
      </x:c>
      <x:c r="C5" s="7"/>
    </x:row>
    <x:row r="6">
      <x:c r="A6" s="7" t="str"/>
      <x:c r="B6" s="7" t="str"/>
      <x:c r="C6" s="7"/>
    </x:row>
    <x:row r="7">
      <x:c r="A7" s="18" t="str">
        <x:v>Status</x:v>
      </x:c>
      <x:c r="B7" s="18" t="str">
        <x:v>Kinjo Audit Count</x:v>
      </x:c>
      <x:c r="C7" s="18" t="str">
        <x:v>Full GWS Count</x:v>
      </x:c>
    </x:row>
    <x:row r="8">
      <x:c r="A8" s="7" t="str">
        <x:v>Not checked</x:v>
      </x:c>
      <x:c r="B8" s="7" t="n">
        <x:f>COUNTIF('Kinjo Audit Checklist'!$H$2:$H$94,A8)</x:f>
        <x:v>93</x:v>
      </x:c>
      <x:c r="C8" s="7" t="n">
        <x:f>COUNTIF('Full GWS Checklist'!$G$2:$G$301,A8)</x:f>
        <x:v>300</x:v>
      </x:c>
    </x:row>
    <x:row r="9">
      <x:c r="A9" s="7" t="str">
        <x:v>Match</x:v>
      </x:c>
      <x:c r="B9" s="7" t="n">
        <x:f>COUNTIF('Kinjo Audit Checklist'!$H$2:$H$94,A9)</x:f>
        <x:v>0</x:v>
      </x:c>
      <x:c r="C9" s="7" t="n">
        <x:f>COUNTIF('Full GWS Checklist'!$G$2:$G$301,A9)</x:f>
        <x:v>0</x:v>
      </x:c>
    </x:row>
    <x:row r="10">
      <x:c r="A10" s="7" t="str">
        <x:v>Partial</x:v>
      </x:c>
      <x:c r="B10" s="7" t="n">
        <x:f>COUNTIF('Kinjo Audit Checklist'!$H$2:$H$94,A10)</x:f>
        <x:v>0</x:v>
      </x:c>
      <x:c r="C10" s="7" t="n">
        <x:f>COUNTIF('Full GWS Checklist'!$G$2:$G$301,A10)</x:f>
        <x:v>0</x:v>
      </x:c>
    </x:row>
    <x:row r="11">
      <x:c r="A11" s="7" t="str">
        <x:v>Mismatch</x:v>
      </x:c>
      <x:c r="B11" s="7" t="n">
        <x:f>COUNTIF('Kinjo Audit Checklist'!$H$2:$H$94,A11)</x:f>
        <x:v>0</x:v>
      </x:c>
      <x:c r="C11" s="7" t="n">
        <x:f>COUNTIF('Full GWS Checklist'!$G$2:$G$301,A11)</x:f>
        <x:v>0</x:v>
      </x:c>
    </x:row>
    <x:row r="12">
      <x:c r="A12" s="7" t="str">
        <x:v>N/A</x:v>
      </x:c>
      <x:c r="B12" s="7" t="n">
        <x:f>COUNTIF('Kinjo Audit Checklist'!$H$2:$H$94,A12)</x:f>
        <x:v>0</x:v>
      </x:c>
      <x:c r="C12" s="7" t="n">
        <x:f>COUNTIF('Full GWS Checklist'!$G$2:$G$301,A12)</x:f>
        <x:v>0</x:v>
      </x:c>
    </x:row>
    <x:row r="13">
      <x:c r="A13" s="7" t="str">
        <x:v>Deferred</x:v>
      </x:c>
      <x:c r="B13" s="7" t="n">
        <x:f>COUNTIF('Kinjo Audit Checklist'!$H$2:$H$94,A13)</x:f>
        <x:v>0</x:v>
      </x:c>
      <x:c r="C13" s="7" t="n">
        <x:f>COUNTIF('Full GWS Checklist'!$G$2:$G$301,A13)</x:f>
        <x:v>0</x:v>
      </x:c>
    </x:row>
    <x:row r="14">
      <x:c r="A14" s="7" t="str"/>
      <x:c r="B14" s="7" t="str"/>
      <x:c r="C14" s="7" t="str"/>
    </x:row>
    <x:row r="15">
      <x:c r="A15" s="18" t="str">
        <x:v>Priority</x:v>
      </x:c>
      <x:c r="B15" s="18" t="str">
        <x:v>Kinjo Audit Count</x:v>
      </x:c>
      <x:c r="C15" s="18" t="str"/>
    </x:row>
    <x:row r="16">
      <x:c r="A16" s="7" t="str">
        <x:v>Critical</x:v>
      </x:c>
      <x:c r="B16" s="7" t="n">
        <x:f>COUNTIF('Kinjo Audit Checklist'!$F$2:$F$94,A16)</x:f>
        <x:v>15</x:v>
      </x:c>
      <x:c r="C16" s="7" t="str"/>
    </x:row>
    <x:row r="17">
      <x:c r="A17" s="7" t="str">
        <x:v>High</x:v>
      </x:c>
      <x:c r="B17" s="7" t="n">
        <x:f>COUNTIF('Kinjo Audit Checklist'!$F$2:$F$94,A17)</x:f>
        <x:v>50</x:v>
      </x:c>
      <x:c r="C17" s="7" t="str"/>
    </x:row>
    <x:row r="18">
      <x:c r="A18" s="7" t="str">
        <x:v>Medium</x:v>
      </x:c>
      <x:c r="B18" s="7" t="n">
        <x:f>COUNTIF('Kinjo Audit Checklist'!$F$2:$F$94,A18)</x:f>
        <x:v>27</x:v>
      </x:c>
      <x:c r="C18" s="7" t="str"/>
    </x:row>
    <x:row r="19">
      <x:c r="A19" s="7" t="str">
        <x:v>Low</x:v>
      </x:c>
      <x:c r="B19" s="7" t="n">
        <x:f>COUNTIF('Kinjo Audit Checklist'!$F$2:$F$94,A19)</x:f>
        <x:v>1</x:v>
      </x:c>
      <x:c r="C19" s="7" t="str"/>
    </x:row>
    <x:row r="20">
      <x:c r="A20" s="7" t="str"/>
      <x:c r="B20" s="7" t="str"/>
      <x:c r="C20" s="7" t="str"/>
    </x:row>
    <x:row r="21">
      <x:c r="A21" s="7" t="str">
        <x:v>Development gate items not matched</x:v>
      </x:c>
      <x:c r="B21" s="7" t="n">
        <x:f>COUNTIFS('Kinjo Audit Checklist'!$G$2:$G$94,"Development gate",'Kinjo Audit Checklist'!$H$2:$H$94,"&lt;&gt;Match",'Kinjo Audit Checklist'!$H$2:$H$94,"&lt;&gt;N/A")</x:f>
        <x:v>21</x:v>
      </x:c>
      <x:c r="C21" s="7" t="str"/>
    </x:row>
    <x:row r="22">
      <x:c r="A22" s="7" t="str">
        <x:v>Critical/high mismatches</x:v>
      </x:c>
      <x:c r="B22" s="7" t="n">
        <x:f>COUNTIFS('Kinjo Audit Checklist'!$F$2:$F$94,"Critical",'Kinjo Audit Checklist'!$H$2:$H$94,"Mismatch")+COUNTIFS('Kinjo Audit Checklist'!$F$2:$F$94,"High",'Kinjo Audit Checklist'!$H$2:$H$94,"Mismatch")</x:f>
        <x:v>0</x:v>
      </x:c>
      <x:c r="C22" s="7" t="str"/>
    </x:row>
    <x:row r="23">
      <x:c r="A23" s="7" t="str">
        <x:v>Completion % (Match + N/A over total)</x:v>
      </x:c>
      <x:c r="B23" s="20" t="n">
        <x:f>IFERROR((COUNTIF('Kinjo Audit Checklist'!$H$2:$H$94,"Match")+COUNTIF('Kinjo Audit Checklist'!$H$2:$H$94,"N/A"))/COUNTA('Kinjo Audit Checklist'!$A$2:$A$94),0)</x:f>
        <x:v>0</x:v>
      </x:c>
      <x:c r="C23" s="7" t="str"/>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2" hidden="0" customWidth="1"/>
    <x:col min="3" max="3" width="48" hidden="0" customWidth="1"/>
    <x:col min="4" max="4" width="40" hidden="0" customWidth="1"/>
    <x:col min="5" max="5" width="44" hidden="0" customWidth="1"/>
    <x:col min="6" max="6" width="12" hidden="0" customWidth="1"/>
    <x:col min="7" max="7" width="18" hidden="0" customWidth="1"/>
    <x:col min="8" max="8" width="16" hidden="0" customWidth="1"/>
    <x:col min="9" max="9" width="30" hidden="0" customWidth="1"/>
    <x:col min="10" max="10" width="30" hidden="0" customWidth="1"/>
    <x:col min="11" max="11" width="30" hidden="0" customWidth="1"/>
  </x:cols>
  <x:sheetData>
    <x:row r="1" ht="28" customHeight="1">
      <x:c r="A1" s="11" t="str">
        <x:v>ID</x:v>
      </x:c>
      <x:c r="B1" s="11" t="str">
        <x:v>Category</x:v>
      </x:c>
      <x:c r="C1" s="11" t="str">
        <x:v>Requirement</x:v>
      </x:c>
      <x:c r="D1" s="11" t="str">
        <x:v>Evidence to check in D:\Final Version</x:v>
      </x:c>
      <x:c r="E1" s="11" t="str">
        <x:v>How to verify</x:v>
      </x:c>
      <x:c r="F1" s="11" t="str">
        <x:v>Priority</x:v>
      </x:c>
      <x:c r="G1" s="11" t="str">
        <x:v>Phase</x:v>
      </x:c>
      <x:c r="H1" s="11" t="str">
        <x:v>Status</x:v>
      </x:c>
      <x:c r="I1" s="11" t="str">
        <x:v>Evidence / Notes</x:v>
      </x:c>
      <x:c r="J1" s="11" t="str">
        <x:v>Mismatch / Gap</x:v>
      </x:c>
      <x:c r="K1" s="11" t="str">
        <x:v>Next action / Owner</x:v>
      </x:c>
    </x:row>
    <x:row r="2">
      <x:c r="A2" s="7" t="str">
        <x:v>K-PR-01</x:v>
      </x:c>
      <x:c r="B2" s="7" t="str">
        <x:v>Project readiness</x:v>
      </x:c>
      <x:c r="C2" s="7" t="str">
        <x:v>Kinjo project runs locally from D:\Final Version without startup errors.</x:v>
      </x:c>
      <x:c r="D2" s="7" t="str">
        <x:v>D:\Final Version\README, package/requirements files, startup script, application logs</x:v>
      </x:c>
      <x:c r="E2" s="7" t="str">
        <x:v>Run local setup/start command; capture screenshot/log of successful home page and console output.</x:v>
      </x:c>
      <x:c r="F2" s="7" t="str">
        <x:v>Critical</x:v>
      </x:c>
      <x:c r="G2" s="7" t="str">
        <x:v>Development gate</x:v>
      </x:c>
      <x:c r="H2" s="7" t="str">
        <x:v>Not checked</x:v>
      </x:c>
      <x:c r="I2" s="7" t="str"/>
      <x:c r="J2" s="7" t="str"/>
      <x:c r="K2" s="7" t="str"/>
    </x:row>
    <x:row r="3">
      <x:c r="A3" s="7" t="str">
        <x:v>K-PR-02</x:v>
      </x:c>
      <x:c r="B3" s="7" t="str">
        <x:v>Project readiness</x:v>
      </x:c>
      <x:c r="C3" s="7" t="str">
        <x:v>Environment-specific configuration is separated from source code; secrets are not committed.</x:v>
      </x:c>
      <x:c r="D3" s="7" t="str">
        <x:v>.env, config files, app settings, repository ignore files</x:v>
      </x:c>
      <x:c r="E3" s="7" t="str">
        <x:v>Check .gitignore, config samples, and code search for passwords/API keys/tokens.</x:v>
      </x:c>
      <x:c r="F3" s="7" t="str">
        <x:v>Critical</x:v>
      </x:c>
      <x:c r="G3" s="7" t="str">
        <x:v>Development gate</x:v>
      </x:c>
      <x:c r="H3" s="7" t="str">
        <x:v>Not checked</x:v>
      </x:c>
      <x:c r="I3" s="7" t="str"/>
      <x:c r="J3" s="7" t="str"/>
      <x:c r="K3" s="7" t="str"/>
    </x:row>
    <x:row r="4">
      <x:c r="A4" s="7" t="str">
        <x:v>K-PR-03</x:v>
      </x:c>
      <x:c r="B4" s="7" t="str">
        <x:v>Project readiness</x:v>
      </x:c>
      <x:c r="C4" s="7" t="str">
        <x:v>Dependency manifests and lock files exist and are reproducible.</x:v>
      </x:c>
      <x:c r="D4" s="7" t="str">
        <x:v>requirements.txt/pyproject/package.json/composer.json + lock files</x:v>
      </x:c>
      <x:c r="E4" s="7" t="str">
        <x:v>Install dependencies in a clean environment and compare warnings/errors.</x:v>
      </x:c>
      <x:c r="F4" s="7" t="str">
        <x:v>High</x:v>
      </x:c>
      <x:c r="G4" s="7" t="str">
        <x:v>Development gate</x:v>
      </x:c>
      <x:c r="H4" s="7" t="str">
        <x:v>Not checked</x:v>
      </x:c>
      <x:c r="I4" s="7" t="str"/>
      <x:c r="J4" s="7" t="str"/>
      <x:c r="K4" s="7" t="str"/>
    </x:row>
    <x:row r="5">
      <x:c r="A5" s="7" t="str">
        <x:v>K-PR-04</x:v>
      </x:c>
      <x:c r="B5" s="7" t="str">
        <x:v>Project readiness</x:v>
      </x:c>
      <x:c r="C5" s="7" t="str">
        <x:v>Database schema is versioned through migrations or documented scripts.</x:v>
      </x:c>
      <x:c r="D5" s="7" t="str">
        <x:v>migrations/, schema scripts, ERD, seeders</x:v>
      </x:c>
      <x:c r="E5" s="7" t="str">
        <x:v>Recreate a clean database from migrations/scripts and confirm application runs.</x:v>
      </x:c>
      <x:c r="F5" s="7" t="str">
        <x:v>High</x:v>
      </x:c>
      <x:c r="G5" s="7" t="str">
        <x:v>Development gate</x:v>
      </x:c>
      <x:c r="H5" s="7" t="str">
        <x:v>Not checked</x:v>
      </x:c>
      <x:c r="I5" s="7" t="str"/>
      <x:c r="J5" s="7" t="str"/>
      <x:c r="K5" s="7" t="str"/>
    </x:row>
    <x:row r="6">
      <x:c r="A6" s="7" t="str">
        <x:v>K-PR-05</x:v>
      </x:c>
      <x:c r="B6" s="7" t="str">
        <x:v>Project readiness</x:v>
      </x:c>
      <x:c r="C6" s="7" t="str">
        <x:v>README includes setup, run, test, deployment, and environment variable instructions.</x:v>
      </x:c>
      <x:c r="D6" s="7" t="str">
        <x:v>README.md or project docs</x:v>
      </x:c>
      <x:c r="E6" s="7" t="str">
        <x:v>A new developer can set up the project without asking for missing steps.</x:v>
      </x:c>
      <x:c r="F6" s="7" t="str">
        <x:v>Medium</x:v>
      </x:c>
      <x:c r="G6" s="7" t="str">
        <x:v>Development</x:v>
      </x:c>
      <x:c r="H6" s="7" t="str">
        <x:v>Not checked</x:v>
      </x:c>
      <x:c r="I6" s="7" t="str"/>
      <x:c r="J6" s="7" t="str"/>
      <x:c r="K6" s="7" t="str"/>
    </x:row>
    <x:row r="7">
      <x:c r="A7" s="7" t="str">
        <x:v>K-PR-06</x:v>
      </x:c>
      <x:c r="B7" s="7" t="str">
        <x:v>Project readiness</x:v>
      </x:c>
      <x:c r="C7" s="7" t="str">
        <x:v>Automated tests or manual QA scenarios cover main user journeys.</x:v>
      </x:c>
      <x:c r="D7" s="7" t="str">
        <x:v>tests/, QA checklist, Postman collections</x:v>
      </x:c>
      <x:c r="E7" s="7" t="str">
        <x:v>Run available tests; add manual scripts for uncovered critical flows.</x:v>
      </x:c>
      <x:c r="F7" s="7" t="str">
        <x:v>High</x:v>
      </x:c>
      <x:c r="G7" s="7" t="str">
        <x:v>Development gate</x:v>
      </x:c>
      <x:c r="H7" s="7" t="str">
        <x:v>Not checked</x:v>
      </x:c>
      <x:c r="I7" s="7" t="str"/>
      <x:c r="J7" s="7" t="str"/>
      <x:c r="K7" s="7" t="str"/>
    </x:row>
    <x:row r="8">
      <x:c r="A8" s="7" t="str">
        <x:v>K-PR-07</x:v>
      </x:c>
      <x:c r="B8" s="7" t="str">
        <x:v>Project readiness</x:v>
      </x:c>
      <x:c r="C8" s="7" t="str">
        <x:v>Logging is enabled for application errors and admin/audit events.</x:v>
      </x:c>
      <x:c r="D8" s="7" t="str">
        <x:v>logs configuration, middleware, admin action handlers</x:v>
      </x:c>
      <x:c r="E8" s="7" t="str">
        <x:v>Trigger expected error in dev and verify safe log entry; check admin action log.</x:v>
      </x:c>
      <x:c r="F8" s="7" t="str">
        <x:v>High</x:v>
      </x:c>
      <x:c r="G8" s="7" t="str">
        <x:v>Development</x:v>
      </x:c>
      <x:c r="H8" s="7" t="str">
        <x:v>Not checked</x:v>
      </x:c>
      <x:c r="I8" s="7" t="str"/>
      <x:c r="J8" s="7" t="str"/>
      <x:c r="K8" s="7" t="str"/>
    </x:row>
    <x:row r="9">
      <x:c r="A9" s="7" t="str">
        <x:v>K-PR-08</x:v>
      </x:c>
      <x:c r="B9" s="7" t="str">
        <x:v>Project readiness</x:v>
      </x:c>
      <x:c r="C9" s="7" t="str">
        <x:v>Error pages are user-friendly and do not expose stack traces or internal paths.</x:v>
      </x:c>
      <x:c r="D9" s="7" t="str">
        <x:v>error handlers/templates, debug settings</x:v>
      </x:c>
      <x:c r="E9" s="7" t="str">
        <x:v>Visit missing route and forced error; confirm logs contain details but UI does not.</x:v>
      </x:c>
      <x:c r="F9" s="7" t="str">
        <x:v>Critical</x:v>
      </x:c>
      <x:c r="G9" s="7" t="str">
        <x:v>Development gate</x:v>
      </x:c>
      <x:c r="H9" s="7" t="str">
        <x:v>Not checked</x:v>
      </x:c>
      <x:c r="I9" s="7" t="str"/>
      <x:c r="J9" s="7" t="str"/>
      <x:c r="K9" s="7" t="str"/>
    </x:row>
    <x:row r="10">
      <x:c r="A10" s="7" t="str">
        <x:v>K-PR-09</x:v>
      </x:c>
      <x:c r="B10" s="7" t="str">
        <x:v>Project readiness</x:v>
      </x:c>
      <x:c r="C10" s="7" t="str">
        <x:v>Roles and permissions are clearly defined for all user types.</x:v>
      </x:c>
      <x:c r="D10" s="7" t="str">
        <x:v>auth/roles/permissions config, admin screens</x:v>
      </x:c>
      <x:c r="E10" s="7" t="str">
        <x:v>Map each protected feature to a role; verify unauthorized access is blocked.</x:v>
      </x:c>
      <x:c r="F10" s="7" t="str">
        <x:v>Critical</x:v>
      </x:c>
      <x:c r="G10" s="7" t="str">
        <x:v>Development gate</x:v>
      </x:c>
      <x:c r="H10" s="7" t="str">
        <x:v>Not checked</x:v>
      </x:c>
      <x:c r="I10" s="7" t="str"/>
      <x:c r="J10" s="7" t="str"/>
      <x:c r="K10" s="7" t="str"/>
    </x:row>
    <x:row r="11">
      <x:c r="A11" s="7" t="str">
        <x:v>K-PR-10</x:v>
      </x:c>
      <x:c r="B11" s="7" t="str">
        <x:v>Project readiness</x:v>
      </x:c>
      <x:c r="C11" s="7" t="str">
        <x:v>Deployment/staging checklist exists before production go-live.</x:v>
      </x:c>
      <x:c r="D11" s="7" t="str">
        <x:v>deployment docs, CI/CD, backup/rollback notes</x:v>
      </x:c>
      <x:c r="E11" s="7" t="str">
        <x:v>Confirm documented staging URL, release steps, rollback, and backup process.</x:v>
      </x:c>
      <x:c r="F11" s="7" t="str">
        <x:v>High</x:v>
      </x:c>
      <x:c r="G11" s="7" t="str">
        <x:v>Pre-release</x:v>
      </x:c>
      <x:c r="H11" s="7" t="str">
        <x:v>Not checked</x:v>
      </x:c>
      <x:c r="I11" s="7" t="str"/>
      <x:c r="J11" s="7" t="str"/>
      <x:c r="K11" s="7" t="str"/>
    </x:row>
    <x:row r="12">
      <x:c r="A12" s="7" t="str">
        <x:v>K-L10N-01</x:v>
      </x:c>
      <x:c r="B12" s="7" t="str">
        <x:v>Arabic and localization</x:v>
      </x:c>
      <x:c r="C12" s="7" t="str">
        <x:v>Arabic is the default language and English is available at minimum.</x:v>
      </x:c>
      <x:c r="D12" s="7" t="str">
        <x:v>routes, i18n/lang files, templates</x:v>
      </x:c>
      <x:c r="E12" s="7" t="str">
        <x:v>Open first visit with no language preference; confirm Arabic default.</x:v>
      </x:c>
      <x:c r="F12" s="7" t="str">
        <x:v>High</x:v>
      </x:c>
      <x:c r="G12" s="7" t="str">
        <x:v>Development</x:v>
      </x:c>
      <x:c r="H12" s="7" t="str">
        <x:v>Not checked</x:v>
      </x:c>
      <x:c r="I12" s="7" t="str"/>
      <x:c r="J12" s="7" t="str"/>
      <x:c r="K12" s="7" t="str"/>
    </x:row>
    <x:row r="13">
      <x:c r="A13" s="7" t="str">
        <x:v>K-L10N-02</x:v>
      </x:c>
      <x:c r="B13" s="7" t="str">
        <x:v>Arabic and localization</x:v>
      </x:c>
      <x:c r="C13" s="7" t="str">
        <x:v>Language switcher is consistently in the header and displayed as full words: English / عربي.</x:v>
      </x:c>
      <x:c r="D13" s="7" t="str">
        <x:v>shared header template/component</x:v>
      </x:c>
      <x:c r="E13" s="7" t="str">
        <x:v>Check all major pages in Arabic and English.</x:v>
      </x:c>
      <x:c r="F13" s="7" t="str">
        <x:v>High</x:v>
      </x:c>
      <x:c r="G13" s="7" t="str">
        <x:v>Development</x:v>
      </x:c>
      <x:c r="H13" s="7" t="str">
        <x:v>Not checked</x:v>
      </x:c>
      <x:c r="I13" s="7" t="str"/>
      <x:c r="J13" s="7" t="str"/>
      <x:c r="K13" s="7" t="str"/>
    </x:row>
    <x:row r="14">
      <x:c r="A14" s="7" t="str">
        <x:v>K-L10N-03</x:v>
      </x:c>
      <x:c r="B14" s="7" t="str">
        <x:v>Arabic and localization</x:v>
      </x:c>
      <x:c r="C14" s="7" t="str">
        <x:v>Switching language opens the equivalent page/content, not only the homepage.</x:v>
      </x:c>
      <x:c r="D14" s="7" t="str">
        <x:v>localized routing, translation keys, slugs</x:v>
      </x:c>
      <x:c r="E14" s="7" t="str">
        <x:v>Test 10 representative pages and compare Arabic/English page mapping.</x:v>
      </x:c>
      <x:c r="F14" s="7" t="str">
        <x:v>High</x:v>
      </x:c>
      <x:c r="G14" s="7" t="str">
        <x:v>Development</x:v>
      </x:c>
      <x:c r="H14" s="7" t="str">
        <x:v>Not checked</x:v>
      </x:c>
      <x:c r="I14" s="7" t="str"/>
      <x:c r="J14" s="7" t="str"/>
      <x:c r="K14" s="7" t="str"/>
    </x:row>
    <x:row r="15">
      <x:c r="A15" s="7" t="str">
        <x:v>K-L10N-04</x:v>
      </x:c>
      <x:c r="B15" s="7" t="str">
        <x:v>Arabic and localization</x:v>
      </x:c>
      <x:c r="C15" s="7" t="str">
        <x:v>If translated content is missing, the page shows a clear 'content unavailable in selected language' message.</x:v>
      </x:c>
      <x:c r="D15" s="7" t="str">
        <x:v>content fallback logic/templates</x:v>
      </x:c>
      <x:c r="E15" s="7" t="str">
        <x:v>Temporarily remove one translation in dev and verify fallback message.</x:v>
      </x:c>
      <x:c r="F15" s="7" t="str">
        <x:v>Medium</x:v>
      </x:c>
      <x:c r="G15" s="7" t="str">
        <x:v>Development</x:v>
      </x:c>
      <x:c r="H15" s="7" t="str">
        <x:v>Not checked</x:v>
      </x:c>
      <x:c r="I15" s="7" t="str"/>
      <x:c r="J15" s="7" t="str"/>
      <x:c r="K15" s="7" t="str"/>
    </x:row>
    <x:row r="16">
      <x:c r="A16" s="7" t="str">
        <x:v>K-L10N-05</x:v>
      </x:c>
      <x:c r="B16" s="7" t="str">
        <x:v>Arabic and localization</x:v>
      </x:c>
      <x:c r="C16" s="7" t="str">
        <x:v>Downloadable files and links match the selected language.</x:v>
      </x:c>
      <x:c r="D16" s="7" t="str">
        <x:v>download pages, asset folders, CMS entries</x:v>
      </x:c>
      <x:c r="E16" s="7" t="str">
        <x:v>Check Arabic page downloads are Arabic; English page downloads are English.</x:v>
      </x:c>
      <x:c r="F16" s="7" t="str">
        <x:v>Medium</x:v>
      </x:c>
      <x:c r="G16" s="7" t="str">
        <x:v>Development</x:v>
      </x:c>
      <x:c r="H16" s="7" t="str">
        <x:v>Not checked</x:v>
      </x:c>
      <x:c r="I16" s="7" t="str"/>
      <x:c r="J16" s="7" t="str"/>
      <x:c r="K16" s="7" t="str"/>
    </x:row>
    <x:row r="17">
      <x:c r="A17" s="7" t="str">
        <x:v>K-L10N-06</x:v>
      </x:c>
      <x:c r="B17" s="7" t="str">
        <x:v>Arabic and localization</x:v>
      </x:c>
      <x:c r="C17" s="7" t="str">
        <x:v>Arabic pages use RTL alignment; English pages use LTR alignment.</x:v>
      </x:c>
      <x:c r="D17" s="7" t="str">
        <x:v>CSS, html dir/lang attributes, templates</x:v>
      </x:c>
      <x:c r="E17" s="7" t="str">
        <x:v>Inspect html dir/lang attributes and visual alignment.</x:v>
      </x:c>
      <x:c r="F17" s="7" t="str">
        <x:v>High</x:v>
      </x:c>
      <x:c r="G17" s="7" t="str">
        <x:v>Development</x:v>
      </x:c>
      <x:c r="H17" s="7" t="str">
        <x:v>Not checked</x:v>
      </x:c>
      <x:c r="I17" s="7" t="str"/>
      <x:c r="J17" s="7" t="str"/>
      <x:c r="K17" s="7" t="str"/>
    </x:row>
    <x:row r="18">
      <x:c r="A18" s="7" t="str">
        <x:v>K-L10N-07</x:v>
      </x:c>
      <x:c r="B18" s="7" t="str">
        <x:v>Arabic and localization</x:v>
      </x:c>
      <x:c r="C18" s="7" t="str">
        <x:v>All UI text is centralized in translation files or CMS, not hard-coded in templates/code.</x:v>
      </x:c>
      <x:c r="D18" s="7" t="str">
        <x:v>lang/i18n files, templates, JS</x:v>
      </x:c>
      <x:c r="E18" s="7" t="str">
        <x:v>Search code for Arabic/English UI strings outside localization files.</x:v>
      </x:c>
      <x:c r="F18" s="7" t="str">
        <x:v>High</x:v>
      </x:c>
      <x:c r="G18" s="7" t="str">
        <x:v>Development</x:v>
      </x:c>
      <x:c r="H18" s="7" t="str">
        <x:v>Not checked</x:v>
      </x:c>
      <x:c r="I18" s="7" t="str"/>
      <x:c r="J18" s="7" t="str"/>
      <x:c r="K18" s="7" t="str"/>
    </x:row>
    <x:row r="19">
      <x:c r="A19" s="7" t="str">
        <x:v>K-L10N-08</x:v>
      </x:c>
      <x:c r="B19" s="7" t="str">
        <x:v>Arabic and localization</x:v>
      </x:c>
      <x:c r="C19" s="7" t="str">
        <x:v>Dates are displayed as dd/mm/yyyy where required.</x:v>
      </x:c>
      <x:c r="D19" s="7" t="str">
        <x:v>date formatting helpers/templates</x:v>
      </x:c>
      <x:c r="E19" s="7" t="str">
        <x:v>Check pages showing dates: news, reports, forms, dashboard.</x:v>
      </x:c>
      <x:c r="F19" s="7" t="str">
        <x:v>Medium</x:v>
      </x:c>
      <x:c r="G19" s="7" t="str">
        <x:v>Development</x:v>
      </x:c>
      <x:c r="H19" s="7" t="str">
        <x:v>Not checked</x:v>
      </x:c>
      <x:c r="I19" s="7" t="str"/>
      <x:c r="J19" s="7" t="str"/>
      <x:c r="K19" s="7" t="str"/>
    </x:row>
    <x:row r="20">
      <x:c r="A20" s="7" t="str">
        <x:v>K-L10N-09</x:v>
      </x:c>
      <x:c r="B20" s="7" t="str">
        <x:v>Arabic and localization</x:v>
      </x:c>
      <x:c r="C20" s="7" t="str">
        <x:v>Arabic search normalizes common Arabic variants and ignores special prefixes/characters where appropriate.</x:v>
      </x:c>
      <x:c r="D20" s="7" t="str">
        <x:v>search service/controller</x:v>
      </x:c>
      <x:c r="E20" s="7" t="str">
        <x:v>Test examples with/without ال, hamza variants, and diacritics.</x:v>
      </x:c>
      <x:c r="F20" s="7" t="str">
        <x:v>High</x:v>
      </x:c>
      <x:c r="G20" s="7" t="str">
        <x:v>Development</x:v>
      </x:c>
      <x:c r="H20" s="7" t="str">
        <x:v>Not checked</x:v>
      </x:c>
      <x:c r="I20" s="7" t="str"/>
      <x:c r="J20" s="7" t="str"/>
      <x:c r="K20" s="7" t="str"/>
    </x:row>
    <x:row r="21">
      <x:c r="A21" s="7" t="str">
        <x:v>K-L10N-10</x:v>
      </x:c>
      <x:c r="B21" s="7" t="str">
        <x:v>Arabic and localization</x:v>
      </x:c>
      <x:c r="C21" s="7" t="str">
        <x:v>English search is case-insensitive.</x:v>
      </x:c>
      <x:c r="D21" s="7" t="str">
        <x:v>search service/controller</x:v>
      </x:c>
      <x:c r="E21" s="7" t="str">
        <x:v>Search same keyword in lower/upper/mixed case and compare results.</x:v>
      </x:c>
      <x:c r="F21" s="7" t="str">
        <x:v>High</x:v>
      </x:c>
      <x:c r="G21" s="7" t="str">
        <x:v>Development</x:v>
      </x:c>
      <x:c r="H21" s="7" t="str">
        <x:v>Not checked</x:v>
      </x:c>
      <x:c r="I21" s="7" t="str"/>
      <x:c r="J21" s="7" t="str"/>
      <x:c r="K21" s="7" t="str"/>
    </x:row>
    <x:row r="22">
      <x:c r="A22" s="7" t="str">
        <x:v>K-ACC-01</x:v>
      </x:c>
      <x:c r="B22" s="7" t="str">
        <x:v>Accessibility and SEO</x:v>
      </x:c>
      <x:c r="C22" s="7" t="str">
        <x:v>All pages have meaningful, unique title, description, and meta tags.</x:v>
      </x:c>
      <x:c r="D22" s="7" t="str">
        <x:v>base template, route/page metadata, SEO module</x:v>
      </x:c>
      <x:c r="E22" s="7" t="str">
        <x:v>Run page source check for 10 pages; no duplicate generic titles.</x:v>
      </x:c>
      <x:c r="F22" s="7" t="str">
        <x:v>High</x:v>
      </x:c>
      <x:c r="G22" s="7" t="str">
        <x:v>Development</x:v>
      </x:c>
      <x:c r="H22" s="7" t="str">
        <x:v>Not checked</x:v>
      </x:c>
      <x:c r="I22" s="7" t="str"/>
      <x:c r="J22" s="7" t="str"/>
      <x:c r="K22" s="7" t="str"/>
    </x:row>
    <x:row r="23">
      <x:c r="A23" s="7" t="str">
        <x:v>K-ACC-02</x:v>
      </x:c>
      <x:c r="B23" s="7" t="str">
        <x:v>Accessibility and SEO</x:v>
      </x:c>
      <x:c r="C23" s="7" t="str">
        <x:v>XML sitemap exists and is linked/discoverable.</x:v>
      </x:c>
      <x:c r="D23" s="7" t="str">
        <x:v>/sitemap.xml, SEO config</x:v>
      </x:c>
      <x:c r="E23" s="7" t="str">
        <x:v>Open sitemap.xml; validate major routes included.</x:v>
      </x:c>
      <x:c r="F23" s="7" t="str">
        <x:v>High</x:v>
      </x:c>
      <x:c r="G23" s="7" t="str">
        <x:v>Development</x:v>
      </x:c>
      <x:c r="H23" s="7" t="str">
        <x:v>Not checked</x:v>
      </x:c>
      <x:c r="I23" s="7" t="str"/>
      <x:c r="J23" s="7" t="str"/>
      <x:c r="K23" s="7" t="str"/>
    </x:row>
    <x:row r="24">
      <x:c r="A24" s="7" t="str">
        <x:v>K-ACC-03</x:v>
      </x:c>
      <x:c r="B24" s="7" t="str">
        <x:v>Accessibility and SEO</x:v>
      </x:c>
      <x:c r="C24" s="7" t="str">
        <x:v>Graphical content has meaningful ALT text.</x:v>
      </x:c>
      <x:c r="D24" s="7" t="str">
        <x:v>templates, CMS media fields</x:v>
      </x:c>
      <x:c r="E24" s="7" t="str">
        <x:v>Inspect representative images; decorative images use empty alt where appropriate.</x:v>
      </x:c>
      <x:c r="F24" s="7" t="str">
        <x:v>High</x:v>
      </x:c>
      <x:c r="G24" s="7" t="str">
        <x:v>Development</x:v>
      </x:c>
      <x:c r="H24" s="7" t="str">
        <x:v>Not checked</x:v>
      </x:c>
      <x:c r="I24" s="7" t="str"/>
      <x:c r="J24" s="7" t="str"/>
      <x:c r="K24" s="7" t="str"/>
    </x:row>
    <x:row r="25">
      <x:c r="A25" s="7" t="str">
        <x:v>K-ACC-04</x:v>
      </x:c>
      <x:c r="B25" s="7" t="str">
        <x:v>Accessibility and SEO</x:v>
      </x:c>
      <x:c r="C25" s="7" t="str">
        <x:v>Pages use clear headings with one main H1 per page.</x:v>
      </x:c>
      <x:c r="D25" s="7" t="str">
        <x:v>templates/components/content pages</x:v>
      </x:c>
      <x:c r="E25" s="7" t="str">
        <x:v>Inspect heading hierarchy with browser dev tools or accessibility extension.</x:v>
      </x:c>
      <x:c r="F25" s="7" t="str">
        <x:v>Medium</x:v>
      </x:c>
      <x:c r="G25" s="7" t="str">
        <x:v>Development</x:v>
      </x:c>
      <x:c r="H25" s="7" t="str">
        <x:v>Not checked</x:v>
      </x:c>
      <x:c r="I25" s="7" t="str"/>
      <x:c r="J25" s="7" t="str"/>
      <x:c r="K25" s="7" t="str"/>
    </x:row>
    <x:row r="26">
      <x:c r="A26" s="7" t="str">
        <x:v>K-ACC-05</x:v>
      </x:c>
      <x:c r="B26" s="7" t="str">
        <x:v>Accessibility and SEO</x:v>
      </x:c>
      <x:c r="C26" s="7" t="str">
        <x:v>Main navigation and forms are keyboard-friendly.</x:v>
      </x:c>
      <x:c r="D26" s="7" t="str">
        <x:v>templates, JS components, forms</x:v>
      </x:c>
      <x:c r="E26" s="7" t="str">
        <x:v>Use Tab/Shift+Tab/Enter only to navigate main flows.</x:v>
      </x:c>
      <x:c r="F26" s="7" t="str">
        <x:v>Critical</x:v>
      </x:c>
      <x:c r="G26" s="7" t="str">
        <x:v>Development gate</x:v>
      </x:c>
      <x:c r="H26" s="7" t="str">
        <x:v>Not checked</x:v>
      </x:c>
      <x:c r="I26" s="7" t="str"/>
      <x:c r="J26" s="7" t="str"/>
      <x:c r="K26" s="7" t="str"/>
    </x:row>
    <x:row r="27">
      <x:c r="A27" s="7" t="str">
        <x:v>K-ACC-06</x:v>
      </x:c>
      <x:c r="B27" s="7" t="str">
        <x:v>Accessibility and SEO</x:v>
      </x:c>
      <x:c r="C27" s="7" t="str">
        <x:v>Accessibility tools are visible and consistent, including text resizing and contrast/night mode if in scope.</x:v>
      </x:c>
      <x:c r="D27" s="7" t="str">
        <x:v>header/accessibility component, CSS</x:v>
      </x:c>
      <x:c r="E27" s="7" t="str">
        <x:v>Check header on desktop and mobile; verify each action changes UI correctly.</x:v>
      </x:c>
      <x:c r="F27" s="7" t="str">
        <x:v>Medium</x:v>
      </x:c>
      <x:c r="G27" s="7" t="str">
        <x:v>Development</x:v>
      </x:c>
      <x:c r="H27" s="7" t="str">
        <x:v>Not checked</x:v>
      </x:c>
      <x:c r="I27" s="7" t="str"/>
      <x:c r="J27" s="7" t="str"/>
      <x:c r="K27" s="7" t="str"/>
    </x:row>
    <x:row r="28">
      <x:c r="A28" s="7" t="str">
        <x:v>K-ACC-07</x:v>
      </x:c>
      <x:c r="B28" s="7" t="str">
        <x:v>Accessibility and SEO</x:v>
      </x:c>
      <x:c r="C28" s="7" t="str">
        <x:v>Color contrast meets required ratios: normal text 4.5:1, large text 3:1, graphics/UI 3:1.</x:v>
      </x:c>
      <x:c r="D28" s="7" t="str">
        <x:v>CSS design tokens, UI components</x:v>
      </x:c>
      <x:c r="E28" s="7" t="str">
        <x:v>Run contrast checker on home, forms, lists, and dashboards.</x:v>
      </x:c>
      <x:c r="F28" s="7" t="str">
        <x:v>High</x:v>
      </x:c>
      <x:c r="G28" s="7" t="str">
        <x:v>Development</x:v>
      </x:c>
      <x:c r="H28" s="7" t="str">
        <x:v>Not checked</x:v>
      </x:c>
      <x:c r="I28" s="7" t="str"/>
      <x:c r="J28" s="7" t="str"/>
      <x:c r="K28" s="7" t="str"/>
    </x:row>
    <x:row r="29">
      <x:c r="A29" s="7" t="str">
        <x:v>K-ACC-08</x:v>
      </x:c>
      <x:c r="B29" s="7" t="str">
        <x:v>Accessibility and SEO</x:v>
      </x:c>
      <x:c r="C29" s="7" t="str">
        <x:v>Website supports required modern browsers and target resolution.</x:v>
      </x:c>
      <x:c r="D29" s="7" t="str">
        <x:v>browser compatibility notes, CSS/JS</x:v>
      </x:c>
      <x:c r="E29" s="7" t="str">
        <x:v>Smoke test Chrome, Edge, Firefox, Safari where possible; check 1366x768.</x:v>
      </x:c>
      <x:c r="F29" s="7" t="str">
        <x:v>Medium</x:v>
      </x:c>
      <x:c r="G29" s="7" t="str">
        <x:v>Pre-release</x:v>
      </x:c>
      <x:c r="H29" s="7" t="str">
        <x:v>Not checked</x:v>
      </x:c>
      <x:c r="I29" s="7" t="str"/>
      <x:c r="J29" s="7" t="str"/>
      <x:c r="K29" s="7" t="str"/>
    </x:row>
    <x:row r="30">
      <x:c r="A30" s="7" t="str">
        <x:v>K-ACC-09</x:v>
      </x:c>
      <x:c r="B30" s="7" t="str">
        <x:v>Accessibility and SEO</x:v>
      </x:c>
      <x:c r="C30" s="7" t="str">
        <x:v>There are no broken links, broken assets, or unnecessary redirects.</x:v>
      </x:c>
      <x:c r="D30" s="7" t="str">
        <x:v>routes, templates, asset pipeline</x:v>
      </x:c>
      <x:c r="E30" s="7" t="str">
        <x:v>Run link checker or crawl local app; fix 404/500/redirect loops.</x:v>
      </x:c>
      <x:c r="F30" s="7" t="str">
        <x:v>High</x:v>
      </x:c>
      <x:c r="G30" s="7" t="str">
        <x:v>Development gate</x:v>
      </x:c>
      <x:c r="H30" s="7" t="str">
        <x:v>Not checked</x:v>
      </x:c>
      <x:c r="I30" s="7" t="str"/>
      <x:c r="J30" s="7" t="str"/>
      <x:c r="K30" s="7" t="str"/>
    </x:row>
    <x:row r="31">
      <x:c r="A31" s="7" t="str">
        <x:v>K-ACC-10</x:v>
      </x:c>
      <x:c r="B31" s="7" t="str">
        <x:v>Accessibility and SEO</x:v>
      </x:c>
      <x:c r="C31" s="7" t="str">
        <x:v>A scroll-up/back-to-top button exists where long pages require it.</x:v>
      </x:c>
      <x:c r="D31" s="7" t="str">
        <x:v>UI components/pages with long content</x:v>
      </x:c>
      <x:c r="E31" s="7" t="str">
        <x:v>Test long pages on desktop/mobile.</x:v>
      </x:c>
      <x:c r="F31" s="7" t="str">
        <x:v>Low</x:v>
      </x:c>
      <x:c r="G31" s="7" t="str">
        <x:v>Development</x:v>
      </x:c>
      <x:c r="H31" s="7" t="str">
        <x:v>Not checked</x:v>
      </x:c>
      <x:c r="I31" s="7" t="str"/>
      <x:c r="J31" s="7" t="str"/>
      <x:c r="K31" s="7" t="str"/>
    </x:row>
    <x:row r="32">
      <x:c r="A32" s="7" t="str">
        <x:v>K-UI-01</x:v>
      </x:c>
      <x:c r="B32" s="7" t="str">
        <x:v>Navigation and UI</x:v>
      </x:c>
      <x:c r="C32" s="7" t="str">
        <x:v>Navigation is simple, predictable, and follows the three-click principle.</x:v>
      </x:c>
      <x:c r="D32" s="7" t="str">
        <x:v>routes, menu config, sitemap</x:v>
      </x:c>
      <x:c r="E32" s="7" t="str">
        <x:v>From homepage, reach top services/content within three clicks.</x:v>
      </x:c>
      <x:c r="F32" s="7" t="str">
        <x:v>High</x:v>
      </x:c>
      <x:c r="G32" s="7" t="str">
        <x:v>Development</x:v>
      </x:c>
      <x:c r="H32" s="7" t="str">
        <x:v>Not checked</x:v>
      </x:c>
      <x:c r="I32" s="7" t="str"/>
      <x:c r="J32" s="7" t="str"/>
      <x:c r="K32" s="7" t="str"/>
    </x:row>
    <x:row r="33">
      <x:c r="A33" s="7" t="str">
        <x:v>K-UI-02</x:v>
      </x:c>
      <x:c r="B33" s="7" t="str">
        <x:v>Navigation and UI</x:v>
      </x:c>
      <x:c r="C33" s="7" t="str">
        <x:v>Menus are consistent across all pages and include links to all major pages.</x:v>
      </x:c>
      <x:c r="D33" s="7" t="str">
        <x:v>shared layout, menu config</x:v>
      </x:c>
      <x:c r="E33" s="7" t="str">
        <x:v>Compare menu on home, content, form, service, contact pages.</x:v>
      </x:c>
      <x:c r="F33" s="7" t="str">
        <x:v>High</x:v>
      </x:c>
      <x:c r="G33" s="7" t="str">
        <x:v>Development</x:v>
      </x:c>
      <x:c r="H33" s="7" t="str">
        <x:v>Not checked</x:v>
      </x:c>
      <x:c r="I33" s="7" t="str"/>
      <x:c r="J33" s="7" t="str"/>
      <x:c r="K33" s="7" t="str"/>
    </x:row>
    <x:row r="34">
      <x:c r="A34" s="7" t="str">
        <x:v>K-UI-03</x:v>
      </x:c>
      <x:c r="B34" s="7" t="str">
        <x:v>Navigation and UI</x:v>
      </x:c>
      <x:c r="C34" s="7" t="str">
        <x:v>Main menu has no external links and has nine items or fewer.</x:v>
      </x:c>
      <x:c r="D34" s="7" t="str">
        <x:v>menu config/templates</x:v>
      </x:c>
      <x:c r="E34" s="7" t="str">
        <x:v>Review menu entries; move external links to footer/useful links.</x:v>
      </x:c>
      <x:c r="F34" s="7" t="str">
        <x:v>Medium</x:v>
      </x:c>
      <x:c r="G34" s="7" t="str">
        <x:v>Development</x:v>
      </x:c>
      <x:c r="H34" s="7" t="str">
        <x:v>Not checked</x:v>
      </x:c>
      <x:c r="I34" s="7" t="str"/>
      <x:c r="J34" s="7" t="str"/>
      <x:c r="K34" s="7" t="str"/>
    </x:row>
    <x:row r="35">
      <x:c r="A35" s="7" t="str">
        <x:v>K-UI-04</x:v>
      </x:c>
      <x:c r="B35" s="7" t="str">
        <x:v>Navigation and UI</x:v>
      </x:c>
      <x:c r="C35" s="7" t="str">
        <x:v>About Us is first and Contact Us is last in main menu when applicable.</x:v>
      </x:c>
      <x:c r="D35" s="7" t="str">
        <x:v>menu config</x:v>
      </x:c>
      <x:c r="E35" s="7" t="str">
        <x:v>Verify Arabic and English order.</x:v>
      </x:c>
      <x:c r="F35" s="7" t="str">
        <x:v>Medium</x:v>
      </x:c>
      <x:c r="G35" s="7" t="str">
        <x:v>Development</x:v>
      </x:c>
      <x:c r="H35" s="7" t="str">
        <x:v>Not checked</x:v>
      </x:c>
      <x:c r="I35" s="7" t="str"/>
      <x:c r="J35" s="7" t="str"/>
      <x:c r="K35" s="7" t="str"/>
    </x:row>
    <x:row r="36">
      <x:c r="A36" s="7" t="str">
        <x:v>K-UI-05</x:v>
      </x:c>
      <x:c r="B36" s="7" t="str">
        <x:v>Navigation and UI</x:v>
      </x:c>
      <x:c r="C36" s="7" t="str">
        <x:v>Secondary menu includes Home, FAQ, and Sitemap at minimum.</x:v>
      </x:c>
      <x:c r="D36" s="7" t="str">
        <x:v>secondary menu component</x:v>
      </x:c>
      <x:c r="E36" s="7" t="str">
        <x:v>Verify desktop and mobile versions.</x:v>
      </x:c>
      <x:c r="F36" s="7" t="str">
        <x:v>Medium</x:v>
      </x:c>
      <x:c r="G36" s="7" t="str">
        <x:v>Development</x:v>
      </x:c>
      <x:c r="H36" s="7" t="str">
        <x:v>Not checked</x:v>
      </x:c>
      <x:c r="I36" s="7" t="str"/>
      <x:c r="J36" s="7" t="str"/>
      <x:c r="K36" s="7" t="str"/>
    </x:row>
    <x:row r="37">
      <x:c r="A37" s="7" t="str">
        <x:v>K-UI-06</x:v>
      </x:c>
      <x:c r="B37" s="7" t="str">
        <x:v>Navigation and UI</x:v>
      </x:c>
      <x:c r="C37" s="7" t="str">
        <x:v>Breadcrumb exists on internal pages and reflects true hierarchy, with five levels or fewer.</x:v>
      </x:c>
      <x:c r="D37" s="7" t="str">
        <x:v>breadcrumb component/routes</x:v>
      </x:c>
      <x:c r="E37" s="7" t="str">
        <x:v>Check representative pages; breadcrumb starts with homepage.</x:v>
      </x:c>
      <x:c r="F37" s="7" t="str">
        <x:v>Medium</x:v>
      </x:c>
      <x:c r="G37" s="7" t="str">
        <x:v>Development</x:v>
      </x:c>
      <x:c r="H37" s="7" t="str">
        <x:v>Not checked</x:v>
      </x:c>
      <x:c r="I37" s="7" t="str"/>
      <x:c r="J37" s="7" t="str"/>
      <x:c r="K37" s="7" t="str"/>
    </x:row>
    <x:row r="38">
      <x:c r="A38" s="7" t="str">
        <x:v>K-UI-07</x:v>
      </x:c>
      <x:c r="B38" s="7" t="str">
        <x:v>Navigation and UI</x:v>
      </x:c>
      <x:c r="C38" s="7" t="str">
        <x:v>Clicking the logo returns to homepage.</x:v>
      </x:c>
      <x:c r="D38" s="7" t="str">
        <x:v>header/logo component</x:v>
      </x:c>
      <x:c r="E38" s="7" t="str">
        <x:v>Test Arabic and English pages.</x:v>
      </x:c>
      <x:c r="F38" s="7" t="str">
        <x:v>Medium</x:v>
      </x:c>
      <x:c r="G38" s="7" t="str">
        <x:v>Development</x:v>
      </x:c>
      <x:c r="H38" s="7" t="str">
        <x:v>Not checked</x:v>
      </x:c>
      <x:c r="I38" s="7" t="str"/>
      <x:c r="J38" s="7" t="str"/>
      <x:c r="K38" s="7" t="str"/>
    </x:row>
    <x:row r="39">
      <x:c r="A39" s="7" t="str">
        <x:v>K-UI-08</x:v>
      </x:c>
      <x:c r="B39" s="7" t="str">
        <x:v>Navigation and UI</x:v>
      </x:c>
      <x:c r="C39" s="7" t="str">
        <x:v>Homepage contains Header, Body, Footer and clear horizontal sections.</x:v>
      </x:c>
      <x:c r="D39" s="7" t="str">
        <x:v>homepage template</x:v>
      </x:c>
      <x:c r="E39" s="7" t="str">
        <x:v>Visual inspection against design mockups.</x:v>
      </x:c>
      <x:c r="F39" s="7" t="str">
        <x:v>High</x:v>
      </x:c>
      <x:c r="G39" s="7" t="str">
        <x:v>Development</x:v>
      </x:c>
      <x:c r="H39" s="7" t="str">
        <x:v>Not checked</x:v>
      </x:c>
      <x:c r="I39" s="7" t="str"/>
      <x:c r="J39" s="7" t="str"/>
      <x:c r="K39" s="7" t="str"/>
    </x:row>
    <x:row r="40">
      <x:c r="A40" s="7" t="str">
        <x:v>K-UI-09</x:v>
      </x:c>
      <x:c r="B40" s="7" t="str">
        <x:v>Navigation and UI</x:v>
      </x:c>
      <x:c r="C40" s="7" t="str">
        <x:v>Homepage highlights core services and business information from user perspective.</x:v>
      </x:c>
      <x:c r="D40" s="7" t="str">
        <x:v>homepage/service components</x:v>
      </x:c>
      <x:c r="E40" s="7" t="str">
        <x:v>Check if most important user actions are visible above or near fold.</x:v>
      </x:c>
      <x:c r="F40" s="7" t="str">
        <x:v>High</x:v>
      </x:c>
      <x:c r="G40" s="7" t="str">
        <x:v>Development</x:v>
      </x:c>
      <x:c r="H40" s="7" t="str">
        <x:v>Not checked</x:v>
      </x:c>
      <x:c r="I40" s="7" t="str"/>
      <x:c r="J40" s="7" t="str"/>
      <x:c r="K40" s="7" t="str"/>
    </x:row>
    <x:row r="41">
      <x:c r="A41" s="7" t="str">
        <x:v>K-UI-10</x:v>
      </x:c>
      <x:c r="B41" s="7" t="str">
        <x:v>Navigation and UI</x:v>
      </x:c>
      <x:c r="C41" s="7" t="str">
        <x:v>News/announcements are displayed properly; urgent items use a controllable highlight ticker if required.</x:v>
      </x:c>
      <x:c r="D41" s="7" t="str">
        <x:v>news/announcement module</x:v>
      </x:c>
      <x:c r="E41" s="7" t="str">
        <x:v>Verify movement direction for Arabic/English and pause controls.</x:v>
      </x:c>
      <x:c r="F41" s="7" t="str">
        <x:v>Medium</x:v>
      </x:c>
      <x:c r="G41" s="7" t="str">
        <x:v>Development</x:v>
      </x:c>
      <x:c r="H41" s="7" t="str">
        <x:v>Not checked</x:v>
      </x:c>
      <x:c r="I41" s="7" t="str"/>
      <x:c r="J41" s="7" t="str"/>
      <x:c r="K41" s="7" t="str"/>
    </x:row>
    <x:row r="42">
      <x:c r="A42" s="7" t="str">
        <x:v>K-UI-11</x:v>
      </x:c>
      <x:c r="B42" s="7" t="str">
        <x:v>Navigation and UI</x:v>
      </x:c>
      <x:c r="C42" s="7" t="str">
        <x:v>Footer contains policies, headquarters contact info, last update date, social media, and required shared/cross-government links as applicable.</x:v>
      </x:c>
      <x:c r="D42" s="7" t="str">
        <x:v>footer template/CMS</x:v>
      </x:c>
      <x:c r="E42" s="7" t="str">
        <x:v>Inspect footer on major pages and mobile.</x:v>
      </x:c>
      <x:c r="F42" s="7" t="str">
        <x:v>High</x:v>
      </x:c>
      <x:c r="G42" s="7" t="str">
        <x:v>Development</x:v>
      </x:c>
      <x:c r="H42" s="7" t="str">
        <x:v>Not checked</x:v>
      </x:c>
      <x:c r="I42" s="7" t="str"/>
      <x:c r="J42" s="7" t="str"/>
      <x:c r="K42" s="7" t="str"/>
    </x:row>
    <x:row r="43">
      <x:c r="A43" s="7" t="str">
        <x:v>K-UI-12</x:v>
      </x:c>
      <x:c r="B43" s="7" t="str">
        <x:v>Navigation and UI</x:v>
      </x:c>
      <x:c r="C43" s="7" t="str">
        <x:v>Icons have text/tooltip, consistent style, and perform the expected action.</x:v>
      </x:c>
      <x:c r="D43" s="7" t="str">
        <x:v>icon components/assets</x:v>
      </x:c>
      <x:c r="E43" s="7" t="str">
        <x:v>Hover/tap test icons; check SVG/PNG usage and labels.</x:v>
      </x:c>
      <x:c r="F43" s="7" t="str">
        <x:v>Medium</x:v>
      </x:c>
      <x:c r="G43" s="7" t="str">
        <x:v>Development</x:v>
      </x:c>
      <x:c r="H43" s="7" t="str">
        <x:v>Not checked</x:v>
      </x:c>
      <x:c r="I43" s="7" t="str"/>
      <x:c r="J43" s="7" t="str"/>
      <x:c r="K43" s="7" t="str"/>
    </x:row>
    <x:row r="44">
      <x:c r="A44" s="7" t="str">
        <x:v>K-CONT-01</x:v>
      </x:c>
      <x:c r="B44" s="7" t="str">
        <x:v>Content and CMS</x:v>
      </x:c>
      <x:c r="C44" s="7" t="str">
        <x:v>Required pages exist: About, Welcome Message, Organization Structure, Directorates, Services, Forms Guide, News, Annual Reports, Contact, Useful Links, FAQ.</x:v>
      </x:c>
      <x:c r="D44" s="7" t="str">
        <x:v>routes/CMS/pages</x:v>
      </x:c>
      <x:c r="E44" s="7" t="str">
        <x:v>Compare site map and route list; mark non-applicable pages as N/A.</x:v>
      </x:c>
      <x:c r="F44" s="7" t="str">
        <x:v>High</x:v>
      </x:c>
      <x:c r="G44" s="7" t="str">
        <x:v>Development</x:v>
      </x:c>
      <x:c r="H44" s="7" t="str">
        <x:v>Not checked</x:v>
      </x:c>
      <x:c r="I44" s="7" t="str"/>
      <x:c r="J44" s="7" t="str"/>
      <x:c r="K44" s="7" t="str"/>
    </x:row>
    <x:row r="45">
      <x:c r="A45" s="7" t="str">
        <x:v>K-CONT-02</x:v>
      </x:c>
      <x:c r="B45" s="7" t="str">
        <x:v>Content and CMS</x:v>
      </x:c>
      <x:c r="C45" s="7" t="str">
        <x:v>Page titles, tab titles, headings, and page content are aligned.</x:v>
      </x:c>
      <x:c r="D45" s="7" t="str">
        <x:v>templates/page metadata/CMS</x:v>
      </x:c>
      <x:c r="E45" s="7" t="str">
        <x:v>Check title format 'Page Title - Website Name'.</x:v>
      </x:c>
      <x:c r="F45" s="7" t="str">
        <x:v>High</x:v>
      </x:c>
      <x:c r="G45" s="7" t="str">
        <x:v>Development</x:v>
      </x:c>
      <x:c r="H45" s="7" t="str">
        <x:v>Not checked</x:v>
      </x:c>
      <x:c r="I45" s="7" t="str"/>
      <x:c r="J45" s="7" t="str"/>
      <x:c r="K45" s="7" t="str"/>
    </x:row>
    <x:row r="46">
      <x:c r="A46" s="7" t="str">
        <x:v>K-CONT-03</x:v>
      </x:c>
      <x:c r="B46" s="7" t="str">
        <x:v>Content and CMS</x:v>
      </x:c>
      <x:c r="C46" s="7" t="str">
        <x:v>Headings are short, meaningful, and each page has one main heading.</x:v>
      </x:c>
      <x:c r="D46" s="7" t="str">
        <x:v>content templates/CMS content</x:v>
      </x:c>
      <x:c r="E46" s="7" t="str">
        <x:v>Inspect content pages and list pages.</x:v>
      </x:c>
      <x:c r="F46" s="7" t="str">
        <x:v>Medium</x:v>
      </x:c>
      <x:c r="G46" s="7" t="str">
        <x:v>Development</x:v>
      </x:c>
      <x:c r="H46" s="7" t="str">
        <x:v>Not checked</x:v>
      </x:c>
      <x:c r="I46" s="7" t="str"/>
      <x:c r="J46" s="7" t="str"/>
      <x:c r="K46" s="7" t="str"/>
    </x:row>
    <x:row r="47">
      <x:c r="A47" s="7" t="str">
        <x:v>K-CONT-04</x:v>
      </x:c>
      <x:c r="B47" s="7" t="str">
        <x:v>Content and CMS</x:v>
      </x:c>
      <x:c r="C47" s="7" t="str">
        <x:v>Content is proofread and avoids italic/underline styles unless necessary.</x:v>
      </x:c>
      <x:c r="D47" s="7" t="str">
        <x:v>CMS content/templates/CSS</x:v>
      </x:c>
      <x:c r="E47" s="7" t="str">
        <x:v>Sample Arabic and English pages; verify grammar and wording.</x:v>
      </x:c>
      <x:c r="F47" s="7" t="str">
        <x:v>Medium</x:v>
      </x:c>
      <x:c r="G47" s="7" t="str">
        <x:v>Development</x:v>
      </x:c>
      <x:c r="H47" s="7" t="str">
        <x:v>Not checked</x:v>
      </x:c>
      <x:c r="I47" s="7" t="str"/>
      <x:c r="J47" s="7" t="str"/>
      <x:c r="K47" s="7" t="str"/>
    </x:row>
    <x:row r="48">
      <x:c r="A48" s="7" t="str">
        <x:v>K-CONT-05</x:v>
      </x:c>
      <x:c r="B48" s="7" t="str">
        <x:v>Content and CMS</x:v>
      </x:c>
      <x:c r="C48" s="7" t="str">
        <x:v>Lists with more than 10 items have search, clear titles, briefs, sorting, and 'view/read more' links.</x:v>
      </x:c>
      <x:c r="D48" s="7" t="str">
        <x:v>list pages/news/services/reports</x:v>
      </x:c>
      <x:c r="E48" s="7" t="str">
        <x:v>Populate test data &gt;10 items and validate behavior.</x:v>
      </x:c>
      <x:c r="F48" s="7" t="str">
        <x:v>High</x:v>
      </x:c>
      <x:c r="G48" s="7" t="str">
        <x:v>Development</x:v>
      </x:c>
      <x:c r="H48" s="7" t="str">
        <x:v>Not checked</x:v>
      </x:c>
      <x:c r="I48" s="7" t="str"/>
      <x:c r="J48" s="7" t="str"/>
      <x:c r="K48" s="7" t="str"/>
    </x:row>
    <x:row r="49">
      <x:c r="A49" s="7" t="str">
        <x:v>K-CONT-06</x:v>
      </x:c>
      <x:c r="B49" s="7" t="str">
        <x:v>Content and CMS</x:v>
      </x:c>
      <x:c r="C49" s="7" t="str">
        <x:v>Service Guide exists and services are categorized from visitor perspective.</x:v>
      </x:c>
      <x:c r="D49" s="7" t="str">
        <x:v>service guide module</x:v>
      </x:c>
      <x:c r="E49" s="7" t="str">
        <x:v>Review categories; not only internal department names.</x:v>
      </x:c>
      <x:c r="F49" s="7" t="str">
        <x:v>High</x:v>
      </x:c>
      <x:c r="G49" s="7" t="str">
        <x:v>Development</x:v>
      </x:c>
      <x:c r="H49" s="7" t="str">
        <x:v>Not checked</x:v>
      </x:c>
      <x:c r="I49" s="7" t="str"/>
      <x:c r="J49" s="7" t="str"/>
      <x:c r="K49" s="7" t="str"/>
    </x:row>
    <x:row r="50">
      <x:c r="A50" s="7" t="str">
        <x:v>K-CONT-07</x:v>
      </x:c>
      <x:c r="B50" s="7" t="str">
        <x:v>Content and CMS</x:v>
      </x:c>
      <x:c r="C50" s="7" t="str">
        <x:v>Service Card contains name, description, requirements, procedures, forms, completion time, fees, centers, and eService option where applicable.</x:v>
      </x:c>
      <x:c r="D50" s="7" t="str">
        <x:v>service detail pages/CMS fields</x:v>
      </x:c>
      <x:c r="E50" s="7" t="str">
        <x:v>Open representative service cards and check fields.</x:v>
      </x:c>
      <x:c r="F50" s="7" t="str">
        <x:v>High</x:v>
      </x:c>
      <x:c r="G50" s="7" t="str">
        <x:v>Development</x:v>
      </x:c>
      <x:c r="H50" s="7" t="str">
        <x:v>Not checked</x:v>
      </x:c>
      <x:c r="I50" s="7" t="str"/>
      <x:c r="J50" s="7" t="str"/>
      <x:c r="K50" s="7" t="str"/>
    </x:row>
    <x:row r="51">
      <x:c r="A51" s="7" t="str">
        <x:v>K-CONT-08</x:v>
      </x:c>
      <x:c r="B51" s="7" t="str">
        <x:v>Content and CMS</x:v>
      </x:c>
      <x:c r="C51" s="7" t="str">
        <x:v>Branch Guide/branch card exists if the entity has physical branches.</x:v>
      </x:c>
      <x:c r="D51" s="7" t="str">
        <x:v>branches module/contact section</x:v>
      </x:c>
      <x:c r="E51" s="7" t="str">
        <x:v>Check branch name, location/map URL, services, contact, working hours.</x:v>
      </x:c>
      <x:c r="F51" s="7" t="str">
        <x:v>Medium</x:v>
      </x:c>
      <x:c r="G51" s="7" t="str">
        <x:v>Development</x:v>
      </x:c>
      <x:c r="H51" s="7" t="str">
        <x:v>Not checked</x:v>
      </x:c>
      <x:c r="I51" s="7" t="str"/>
      <x:c r="J51" s="7" t="str"/>
      <x:c r="K51" s="7" t="str"/>
    </x:row>
    <x:row r="52">
      <x:c r="A52" s="7" t="str">
        <x:v>K-CONT-09</x:v>
      </x:c>
      <x:c r="B52" s="7" t="str">
        <x:v>Content and CMS</x:v>
      </x:c>
      <x:c r="C52" s="7" t="str">
        <x:v>Downloadable files are clearly named, show format/size, use underscores, and avoid licensed-only formats.</x:v>
      </x:c>
      <x:c r="D52" s="7" t="str">
        <x:v>download pages/public files</x:v>
      </x:c>
      <x:c r="E52" s="7" t="str">
        <x:v>Inspect public/download folders and UI labels.</x:v>
      </x:c>
      <x:c r="F52" s="7" t="str">
        <x:v>Medium</x:v>
      </x:c>
      <x:c r="G52" s="7" t="str">
        <x:v>Development</x:v>
      </x:c>
      <x:c r="H52" s="7" t="str">
        <x:v>Not checked</x:v>
      </x:c>
      <x:c r="I52" s="7" t="str"/>
      <x:c r="J52" s="7" t="str"/>
      <x:c r="K52" s="7" t="str"/>
    </x:row>
    <x:row r="53">
      <x:c r="A53" s="7" t="str">
        <x:v>K-CONT-10</x:v>
      </x:c>
      <x:c r="B53" s="7" t="str">
        <x:v>Content and CMS</x:v>
      </x:c>
      <x:c r="C53" s="7" t="str">
        <x:v>Contact page includes phone, fax, PO Box, email, map, national call center, working hours, branches link, and social channels where applicable.</x:v>
      </x:c>
      <x:c r="D53" s="7" t="str">
        <x:v>contact page/CMS/contact settings</x:v>
      </x:c>
      <x:c r="E53" s="7" t="str">
        <x:v>Compare actual contact fields to required data.</x:v>
      </x:c>
      <x:c r="F53" s="7" t="str">
        <x:v>High</x:v>
      </x:c>
      <x:c r="G53" s="7" t="str">
        <x:v>Development</x:v>
      </x:c>
      <x:c r="H53" s="7" t="str">
        <x:v>Not checked</x:v>
      </x:c>
      <x:c r="I53" s="7" t="str"/>
      <x:c r="J53" s="7" t="str"/>
      <x:c r="K53" s="7" t="str"/>
    </x:row>
    <x:row r="54">
      <x:c r="A54" s="7" t="str">
        <x:v>K-CONT-11</x:v>
      </x:c>
      <x:c r="B54" s="7" t="str">
        <x:v>Content and CMS</x:v>
      </x:c>
      <x:c r="C54" s="7" t="str">
        <x:v>Privacy Policy, Terms of Use, Disclaimer, and Copyright statements exist.</x:v>
      </x:c>
      <x:c r="D54" s="7" t="str">
        <x:v>policy pages/footer links</x:v>
      </x:c>
      <x:c r="E54" s="7" t="str">
        <x:v>Open each policy page and verify content.</x:v>
      </x:c>
      <x:c r="F54" s="7" t="str">
        <x:v>High</x:v>
      </x:c>
      <x:c r="G54" s="7" t="str">
        <x:v>Development</x:v>
      </x:c>
      <x:c r="H54" s="7" t="str">
        <x:v>Not checked</x:v>
      </x:c>
      <x:c r="I54" s="7" t="str"/>
      <x:c r="J54" s="7" t="str"/>
      <x:c r="K54" s="7" t="str"/>
    </x:row>
    <x:row r="55">
      <x:c r="A55" s="7" t="str">
        <x:v>K-CONT-12</x:v>
      </x:c>
      <x:c r="B55" s="7" t="str">
        <x:v>Content and CMS</x:v>
      </x:c>
      <x:c r="C55" s="7" t="str">
        <x:v>Admin/CMS supports roles, workflow, versioning, scheduling, transaction logging, SEO, and multi-language content where needed.</x:v>
      </x:c>
      <x:c r="D55" s="7" t="str">
        <x:v>admin area/CMS code/database</x:v>
      </x:c>
      <x:c r="E55" s="7" t="str">
        <x:v>Create/edit/schedule content in dev; review audit log.</x:v>
      </x:c>
      <x:c r="F55" s="7" t="str">
        <x:v>High</x:v>
      </x:c>
      <x:c r="G55" s="7" t="str">
        <x:v>Development</x:v>
      </x:c>
      <x:c r="H55" s="7" t="str">
        <x:v>Not checked</x:v>
      </x:c>
      <x:c r="I55" s="7" t="str"/>
      <x:c r="J55" s="7" t="str"/>
      <x:c r="K55" s="7" t="str"/>
    </x:row>
    <x:row r="56">
      <x:c r="A56" s="7" t="str">
        <x:v>K-RESP-01</x:v>
      </x:c>
      <x:c r="B56" s="7" t="str">
        <x:v>Responsive and performance</x:v>
      </x:c>
      <x:c r="C56" s="7" t="str">
        <x:v>All pages are responsive on desktop, tablet, and phone sizes.</x:v>
      </x:c>
      <x:c r="D56" s="7" t="str">
        <x:v>CSS/framework/templates</x:v>
      </x:c>
      <x:c r="E56" s="7" t="str">
        <x:v>Test common breakpoints and browser mobile emulator.</x:v>
      </x:c>
      <x:c r="F56" s="7" t="str">
        <x:v>Critical</x:v>
      </x:c>
      <x:c r="G56" s="7" t="str">
        <x:v>Development gate</x:v>
      </x:c>
      <x:c r="H56" s="7" t="str">
        <x:v>Not checked</x:v>
      </x:c>
      <x:c r="I56" s="7" t="str"/>
      <x:c r="J56" s="7" t="str"/>
      <x:c r="K56" s="7" t="str"/>
    </x:row>
    <x:row r="57">
      <x:c r="A57" s="7" t="str">
        <x:v>K-RESP-02</x:v>
      </x:c>
      <x:c r="B57" s="7" t="str">
        <x:v>Responsive and performance</x:v>
      </x:c>
      <x:c r="C57" s="7" t="str">
        <x:v>Mobile menus convert to hamburger menus; language and search remain visible in the header.</x:v>
      </x:c>
      <x:c r="D57" s="7" t="str">
        <x:v>header/nav components</x:v>
      </x:c>
      <x:c r="E57" s="7" t="str">
        <x:v>Check Arabic/English mobile header behavior.</x:v>
      </x:c>
      <x:c r="F57" s="7" t="str">
        <x:v>High</x:v>
      </x:c>
      <x:c r="G57" s="7" t="str">
        <x:v>Development</x:v>
      </x:c>
      <x:c r="H57" s="7" t="str">
        <x:v>Not checked</x:v>
      </x:c>
      <x:c r="I57" s="7" t="str"/>
      <x:c r="J57" s="7" t="str"/>
      <x:c r="K57" s="7" t="str"/>
    </x:row>
    <x:row r="58">
      <x:c r="A58" s="7" t="str">
        <x:v>K-RESP-03</x:v>
      </x:c>
      <x:c r="B58" s="7" t="str">
        <x:v>Responsive and performance</x:v>
      </x:c>
      <x:c r="C58" s="7" t="str">
        <x:v>Images resize without stretching, shrinking, or losing meaning.</x:v>
      </x:c>
      <x:c r="D58" s="7" t="str">
        <x:v>CSS/assets/CMS media</x:v>
      </x:c>
      <x:c r="E58" s="7" t="str">
        <x:v>Inspect hero, news, cards, banners on mobile.</x:v>
      </x:c>
      <x:c r="F58" s="7" t="str">
        <x:v>High</x:v>
      </x:c>
      <x:c r="G58" s="7" t="str">
        <x:v>Development</x:v>
      </x:c>
      <x:c r="H58" s="7" t="str">
        <x:v>Not checked</x:v>
      </x:c>
      <x:c r="I58" s="7" t="str"/>
      <x:c r="J58" s="7" t="str"/>
      <x:c r="K58" s="7" t="str"/>
    </x:row>
    <x:row r="59">
      <x:c r="A59" s="7" t="str">
        <x:v>K-RESP-04</x:v>
      </x:c>
      <x:c r="B59" s="7" t="str">
        <x:v>Responsive and performance</x:v>
      </x:c>
      <x:c r="C59" s="7" t="str">
        <x:v>Buttons are large enough and spaced for finger tapping; thumb-zone placement considered.</x:v>
      </x:c>
      <x:c r="D59" s="7" t="str">
        <x:v>forms/buttons/mobile CSS</x:v>
      </x:c>
      <x:c r="E59" s="7" t="str">
        <x:v>Tap-test mobile forms and key calls to action.</x:v>
      </x:c>
      <x:c r="F59" s="7" t="str">
        <x:v>High</x:v>
      </x:c>
      <x:c r="G59" s="7" t="str">
        <x:v>Development</x:v>
      </x:c>
      <x:c r="H59" s="7" t="str">
        <x:v>Not checked</x:v>
      </x:c>
      <x:c r="I59" s="7" t="str"/>
      <x:c r="J59" s="7" t="str"/>
      <x:c r="K59" s="7" t="str"/>
    </x:row>
    <x:row r="60">
      <x:c r="A60" s="7" t="str">
        <x:v>K-RESP-05</x:v>
      </x:c>
      <x:c r="B60" s="7" t="str">
        <x:v>Responsive and performance</x:v>
      </x:c>
      <x:c r="C60" s="7" t="str">
        <x:v>Breadcrumbs, side menus, and ad banners are removed/handled properly on responsive pages.</x:v>
      </x:c>
      <x:c r="D60" s="7" t="str">
        <x:v>responsive CSS/templates</x:v>
      </x:c>
      <x:c r="E60" s="7" t="str">
        <x:v>Check internal pages on phone width.</x:v>
      </x:c>
      <x:c r="F60" s="7" t="str">
        <x:v>Medium</x:v>
      </x:c>
      <x:c r="G60" s="7" t="str">
        <x:v>Development</x:v>
      </x:c>
      <x:c r="H60" s="7" t="str">
        <x:v>Not checked</x:v>
      </x:c>
      <x:c r="I60" s="7" t="str"/>
      <x:c r="J60" s="7" t="str"/>
      <x:c r="K60" s="7" t="str"/>
    </x:row>
    <x:row r="61">
      <x:c r="A61" s="7" t="str">
        <x:v>K-PERF-01</x:v>
      </x:c>
      <x:c r="B61" s="7" t="str">
        <x:v>Responsive and performance</x:v>
      </x:c>
      <x:c r="C61" s="7" t="str">
        <x:v>Page load time is 9 seconds or less in test conditions.</x:v>
      </x:c>
      <x:c r="D61" s="7" t="str">
        <x:v>browser dev tools/Lighthouse</x:v>
      </x:c>
      <x:c r="E61" s="7" t="str">
        <x:v>Measure homepage and heavy pages; record results.</x:v>
      </x:c>
      <x:c r="F61" s="7" t="str">
        <x:v>High</x:v>
      </x:c>
      <x:c r="G61" s="7" t="str">
        <x:v>Development gate</x:v>
      </x:c>
      <x:c r="H61" s="7" t="str">
        <x:v>Not checked</x:v>
      </x:c>
      <x:c r="I61" s="7" t="str"/>
      <x:c r="J61" s="7" t="str"/>
      <x:c r="K61" s="7" t="str"/>
    </x:row>
    <x:row r="62">
      <x:c r="A62" s="7" t="str">
        <x:v>K-PERF-02</x:v>
      </x:c>
      <x:c r="B62" s="7" t="str">
        <x:v>Responsive and performance</x:v>
      </x:c>
      <x:c r="C62" s="7" t="str">
        <x:v>Page size is 5 MB or less; HTTP requests and redirects are minimized.</x:v>
      </x:c>
      <x:c r="D62" s="7" t="str">
        <x:v>network waterfall/assets</x:v>
      </x:c>
      <x:c r="E62" s="7" t="str">
        <x:v>Review homepage and service/form pages.</x:v>
      </x:c>
      <x:c r="F62" s="7" t="str">
        <x:v>High</x:v>
      </x:c>
      <x:c r="G62" s="7" t="str">
        <x:v>Development</x:v>
      </x:c>
      <x:c r="H62" s="7" t="str">
        <x:v>Not checked</x:v>
      </x:c>
      <x:c r="I62" s="7" t="str"/>
      <x:c r="J62" s="7" t="str"/>
      <x:c r="K62" s="7" t="str"/>
    </x:row>
    <x:row r="63">
      <x:c r="A63" s="7" t="str">
        <x:v>K-PERF-03</x:v>
      </x:c>
      <x:c r="B63" s="7" t="str">
        <x:v>Responsive and performance</x:v>
      </x:c>
      <x:c r="C63" s="7" t="str">
        <x:v>TTFB is 800ms or less in the target environment.</x:v>
      </x:c>
      <x:c r="D63" s="7" t="str">
        <x:v>server logs/dev tools</x:v>
      </x:c>
      <x:c r="E63" s="7" t="str">
        <x:v>Measure staging/local baseline; optimize DB/query/cache as needed.</x:v>
      </x:c>
      <x:c r="F63" s="7" t="str">
        <x:v>Medium</x:v>
      </x:c>
      <x:c r="G63" s="7" t="str">
        <x:v>Pre-release</x:v>
      </x:c>
      <x:c r="H63" s="7" t="str">
        <x:v>Not checked</x:v>
      </x:c>
      <x:c r="I63" s="7" t="str"/>
      <x:c r="J63" s="7" t="str"/>
      <x:c r="K63" s="7" t="str"/>
    </x:row>
    <x:row r="64">
      <x:c r="A64" s="7" t="str">
        <x:v>K-PERF-04</x:v>
      </x:c>
      <x:c r="B64" s="7" t="str">
        <x:v>Responsive and performance</x:v>
      </x:c>
      <x:c r="C64" s="7" t="str">
        <x:v>Large images are &lt;=150KB and small images &lt;=40KB where practical; content images &lt;=300KB.</x:v>
      </x:c>
      <x:c r="D64" s="7" t="str">
        <x:v>public/assets/CMS uploads</x:v>
      </x:c>
      <x:c r="E64" s="7" t="str">
        <x:v>Scan image sizes and optimize.</x:v>
      </x:c>
      <x:c r="F64" s="7" t="str">
        <x:v>Medium</x:v>
      </x:c>
      <x:c r="G64" s="7" t="str">
        <x:v>Development</x:v>
      </x:c>
      <x:c r="H64" s="7" t="str">
        <x:v>Not checked</x:v>
      </x:c>
      <x:c r="I64" s="7" t="str"/>
      <x:c r="J64" s="7" t="str"/>
      <x:c r="K64" s="7" t="str"/>
    </x:row>
    <x:row r="65">
      <x:c r="A65" s="7" t="str">
        <x:v>K-FORM-01</x:v>
      </x:c>
      <x:c r="B65" s="7" t="str">
        <x:v>Forms and e-services</x:v>
      </x:c>
      <x:c r="C65" s="7" t="str">
        <x:v>Each web form has title, brief description, purpose, estimated completion time, and prerequisites.</x:v>
      </x:c>
      <x:c r="D65" s="7" t="str">
        <x:v>form templates/e-service pages</x:v>
      </x:c>
      <x:c r="E65" s="7" t="str">
        <x:v>Review representative forms before the first input field.</x:v>
      </x:c>
      <x:c r="F65" s="7" t="str">
        <x:v>High</x:v>
      </x:c>
      <x:c r="G65" s="7" t="str">
        <x:v>Development</x:v>
      </x:c>
      <x:c r="H65" s="7" t="str">
        <x:v>Not checked</x:v>
      </x:c>
      <x:c r="I65" s="7" t="str"/>
      <x:c r="J65" s="7" t="str"/>
      <x:c r="K65" s="7" t="str"/>
    </x:row>
    <x:row r="66">
      <x:c r="A66" s="7" t="str">
        <x:v>K-FORM-02</x:v>
      </x:c>
      <x:c r="B66" s="7" t="str">
        <x:v>Forms and e-services</x:v>
      </x:c>
      <x:c r="C66" s="7" t="str">
        <x:v>Forms ask only necessary data and keep mandatory fields to a minimum.</x:v>
      </x:c>
      <x:c r="D66" s="7" t="str">
        <x:v>form models/templates/validation</x:v>
      </x:c>
      <x:c r="E66" s="7" t="str">
        <x:v>Review each required field with business owner.</x:v>
      </x:c>
      <x:c r="F66" s="7" t="str">
        <x:v>High</x:v>
      </x:c>
      <x:c r="G66" s="7" t="str">
        <x:v>Development</x:v>
      </x:c>
      <x:c r="H66" s="7" t="str">
        <x:v>Not checked</x:v>
      </x:c>
      <x:c r="I66" s="7" t="str"/>
      <x:c r="J66" s="7" t="str"/>
      <x:c r="K66" s="7" t="str"/>
    </x:row>
    <x:row r="67">
      <x:c r="A67" s="7" t="str">
        <x:v>K-FORM-03</x:v>
      </x:c>
      <x:c r="B67" s="7" t="str">
        <x:v>Forms and e-services</x:v>
      </x:c>
      <x:c r="C67" s="7" t="str">
        <x:v>Required fields are clearly marked and include examples/hints, units, and data formats.</x:v>
      </x:c>
      <x:c r="D67" s="7" t="str">
        <x:v>form templates/validators</x:v>
      </x:c>
      <x:c r="E67" s="7" t="str">
        <x:v>Check phone format 07XXXXXXXX, dates, currency, attachments.</x:v>
      </x:c>
      <x:c r="F67" s="7" t="str">
        <x:v>High</x:v>
      </x:c>
      <x:c r="G67" s="7" t="str">
        <x:v>Development</x:v>
      </x:c>
      <x:c r="H67" s="7" t="str">
        <x:v>Not checked</x:v>
      </x:c>
      <x:c r="I67" s="7" t="str"/>
      <x:c r="J67" s="7" t="str"/>
      <x:c r="K67" s="7" t="str"/>
    </x:row>
    <x:row r="68">
      <x:c r="A68" s="7" t="str">
        <x:v>K-FORM-04</x:v>
      </x:c>
      <x:c r="B68" s="7" t="str">
        <x:v>Forms and e-services</x:v>
      </x:c>
      <x:c r="C68" s="7" t="str">
        <x:v>Form fields follow logical sequence and support keyboard-only completion.</x:v>
      </x:c>
      <x:c r="D68" s="7" t="str">
        <x:v>form layouts/JS</x:v>
      </x:c>
      <x:c r="E68" s="7" t="str">
        <x:v>Complete forms using keyboard only.</x:v>
      </x:c>
      <x:c r="F68" s="7" t="str">
        <x:v>Critical</x:v>
      </x:c>
      <x:c r="G68" s="7" t="str">
        <x:v>Development gate</x:v>
      </x:c>
      <x:c r="H68" s="7" t="str">
        <x:v>Not checked</x:v>
      </x:c>
      <x:c r="I68" s="7" t="str"/>
      <x:c r="J68" s="7" t="str"/>
      <x:c r="K68" s="7" t="str"/>
    </x:row>
    <x:row r="69">
      <x:c r="A69" s="7" t="str">
        <x:v>K-FORM-05</x:v>
      </x:c>
      <x:c r="B69" s="7" t="str">
        <x:v>Forms and e-services</x:v>
      </x:c>
      <x:c r="C69" s="7" t="str">
        <x:v>Forms use predefined inputs where suitable and provide safe default values.</x:v>
      </x:c>
      <x:c r="D69" s="7" t="str">
        <x:v>forms/dropdowns/radio/date fields</x:v>
      </x:c>
      <x:c r="E69" s="7" t="str">
        <x:v>Check dropdowns/radio buttons/default dates.</x:v>
      </x:c>
      <x:c r="F69" s="7" t="str">
        <x:v>Medium</x:v>
      </x:c>
      <x:c r="G69" s="7" t="str">
        <x:v>Development</x:v>
      </x:c>
      <x:c r="H69" s="7" t="str">
        <x:v>Not checked</x:v>
      </x:c>
      <x:c r="I69" s="7" t="str"/>
      <x:c r="J69" s="7" t="str"/>
      <x:c r="K69" s="7" t="str"/>
    </x:row>
    <x:row r="70">
      <x:c r="A70" s="7" t="str">
        <x:v>K-FORM-06</x:v>
      </x:c>
      <x:c r="B70" s="7" t="str">
        <x:v>Forms and e-services</x:v>
      </x:c>
      <x:c r="C70" s="7" t="str">
        <x:v>Attachment fields clearly state allowed formats and maximum size.</x:v>
      </x:c>
      <x:c r="D70" s="7" t="str">
        <x:v>forms/upload validators/UI text</x:v>
      </x:c>
      <x:c r="E70" s="7" t="str">
        <x:v>Try valid/invalid attachment types and sizes.</x:v>
      </x:c>
      <x:c r="F70" s="7" t="str">
        <x:v>High</x:v>
      </x:c>
      <x:c r="G70" s="7" t="str">
        <x:v>Development</x:v>
      </x:c>
      <x:c r="H70" s="7" t="str">
        <x:v>Not checked</x:v>
      </x:c>
      <x:c r="I70" s="7" t="str"/>
      <x:c r="J70" s="7" t="str"/>
      <x:c r="K70" s="7" t="str"/>
    </x:row>
    <x:row r="71">
      <x:c r="A71" s="7" t="str">
        <x:v>K-FORM-07</x:v>
      </x:c>
      <x:c r="B71" s="7" t="str">
        <x:v>Forms and e-services</x:v>
      </x:c>
      <x:c r="C71" s="7" t="str">
        <x:v>Forms include reCAPTCHA/anti-bot protection where public submission is available.</x:v>
      </x:c>
      <x:c r="D71" s="7" t="str">
        <x:v>form template/security middleware</x:v>
      </x:c>
      <x:c r="E71" s="7" t="str">
        <x:v>Submit without passing challenge and verify blocking.</x:v>
      </x:c>
      <x:c r="F71" s="7" t="str">
        <x:v>High</x:v>
      </x:c>
      <x:c r="G71" s="7" t="str">
        <x:v>Development gate</x:v>
      </x:c>
      <x:c r="H71" s="7" t="str">
        <x:v>Not checked</x:v>
      </x:c>
      <x:c r="I71" s="7" t="str"/>
      <x:c r="J71" s="7" t="str"/>
      <x:c r="K71" s="7" t="str"/>
    </x:row>
    <x:row r="72">
      <x:c r="A72" s="7" t="str">
        <x:v>K-FORM-08</x:v>
      </x:c>
      <x:c r="B72" s="7" t="str">
        <x:v>Forms and e-services</x:v>
      </x:c>
      <x:c r="C72" s="7" t="str">
        <x:v>Submit/cancel actions are clear; primary button alignment follows language direction.</x:v>
      </x:c>
      <x:c r="D72" s="7" t="str">
        <x:v>forms CSS/templates</x:v>
      </x:c>
      <x:c r="E72" s="7" t="str">
        <x:v>Check Arabic primary action on right and English on left.</x:v>
      </x:c>
      <x:c r="F72" s="7" t="str">
        <x:v>Medium</x:v>
      </x:c>
      <x:c r="G72" s="7" t="str">
        <x:v>Development</x:v>
      </x:c>
      <x:c r="H72" s="7" t="str">
        <x:v>Not checked</x:v>
      </x:c>
      <x:c r="I72" s="7" t="str"/>
      <x:c r="J72" s="7" t="str"/>
      <x:c r="K72" s="7" t="str"/>
    </x:row>
    <x:row r="73">
      <x:c r="A73" s="7" t="str">
        <x:v>K-FORM-09</x:v>
      </x:c>
      <x:c r="B73" s="7" t="str">
        <x:v>Forms and e-services</x:v>
      </x:c>
      <x:c r="C73" s="7" t="str">
        <x:v>After submission, users receive confirmation with reference number, contact details, expected duration, and print/email/SMS option where applicable.</x:v>
      </x:c>
      <x:c r="D73" s="7" t="str">
        <x:v>form handlers/notification service</x:v>
      </x:c>
      <x:c r="E73" s="7" t="str">
        <x:v>Submit test request and verify confirmation data and notification.</x:v>
      </x:c>
      <x:c r="F73" s="7" t="str">
        <x:v>Critical</x:v>
      </x:c>
      <x:c r="G73" s="7" t="str">
        <x:v>Development gate</x:v>
      </x:c>
      <x:c r="H73" s="7" t="str">
        <x:v>Not checked</x:v>
      </x:c>
      <x:c r="I73" s="7" t="str"/>
      <x:c r="J73" s="7" t="str"/>
      <x:c r="K73" s="7" t="str"/>
    </x:row>
    <x:row r="74">
      <x:c r="A74" s="7" t="str">
        <x:v>K-FORM-10</x:v>
      </x:c>
      <x:c r="B74" s="7" t="str">
        <x:v>Forms and e-services</x:v>
      </x:c>
      <x:c r="C74" s="7" t="str">
        <x:v>Submission flow redirects appropriately after completion without losing confirmation context.</x:v>
      </x:c>
      <x:c r="D74" s="7" t="str">
        <x:v>form handlers/routes</x:v>
      </x:c>
      <x:c r="E74" s="7" t="str">
        <x:v>Test completed form redirect behavior.</x:v>
      </x:c>
      <x:c r="F74" s="7" t="str">
        <x:v>Medium</x:v>
      </x:c>
      <x:c r="G74" s="7" t="str">
        <x:v>Development</x:v>
      </x:c>
      <x:c r="H74" s="7" t="str">
        <x:v>Not checked</x:v>
      </x:c>
      <x:c r="I74" s="7" t="str"/>
      <x:c r="J74" s="7" t="str"/>
      <x:c r="K74" s="7" t="str"/>
    </x:row>
    <x:row r="75">
      <x:c r="A75" s="7" t="str">
        <x:v>K-SEC-01</x:v>
      </x:c>
      <x:c r="B75" s="7" t="str">
        <x:v>Security</x:v>
      </x:c>
      <x:c r="C75" s="7" t="str">
        <x:v>Application is protected against OWASP Top 10 categories.</x:v>
      </x:c>
      <x:c r="D75" s="7" t="str">
        <x:v>code, dependencies, security scanner results</x:v>
      </x:c>
      <x:c r="E75" s="7" t="str">
        <x:v>Run SAST/dependency audit; review injection/auth/access control/XSS protections.</x:v>
      </x:c>
      <x:c r="F75" s="7" t="str">
        <x:v>Critical</x:v>
      </x:c>
      <x:c r="G75" s="7" t="str">
        <x:v>Development gate</x:v>
      </x:c>
      <x:c r="H75" s="7" t="str">
        <x:v>Not checked</x:v>
      </x:c>
      <x:c r="I75" s="7" t="str"/>
      <x:c r="J75" s="7" t="str"/>
      <x:c r="K75" s="7" t="str"/>
    </x:row>
    <x:row r="76">
      <x:c r="A76" s="7" t="str">
        <x:v>K-SEC-02</x:v>
      </x:c>
      <x:c r="B76" s="7" t="str">
        <x:v>Security</x:v>
      </x:c>
      <x:c r="C76" s="7" t="str">
        <x:v>HTTPS is enforced in target environments and certificates are renewed/tracked.</x:v>
      </x:c>
      <x:c r="D76" s="7" t="str">
        <x:v>web server/proxy config, cert management</x:v>
      </x:c>
      <x:c r="E76" s="7" t="str">
        <x:v>Test HTTP redirects to HTTPS and certificate expiry.</x:v>
      </x:c>
      <x:c r="F76" s="7" t="str">
        <x:v>Critical</x:v>
      </x:c>
      <x:c r="G76" s="7" t="str">
        <x:v>Pre-release</x:v>
      </x:c>
      <x:c r="H76" s="7" t="str">
        <x:v>Not checked</x:v>
      </x:c>
      <x:c r="I76" s="7" t="str"/>
      <x:c r="J76" s="7" t="str"/>
      <x:c r="K76" s="7" t="str"/>
    </x:row>
    <x:row r="77">
      <x:c r="A77" s="7" t="str">
        <x:v>K-SEC-03</x:v>
      </x:c>
      <x:c r="B77" s="7" t="str">
        <x:v>Security</x:v>
      </x:c>
      <x:c r="C77" s="7" t="str">
        <x:v>CMS/framework/plugins/third-party packages are updated and monitored.</x:v>
      </x:c>
      <x:c r="D77" s="7" t="str">
        <x:v>dependency manifests, admin CMS</x:v>
      </x:c>
      <x:c r="E77" s="7" t="str">
        <x:v>Run package audit and document upgrade plan.</x:v>
      </x:c>
      <x:c r="F77" s="7" t="str">
        <x:v>High</x:v>
      </x:c>
      <x:c r="G77" s="7" t="str">
        <x:v>Development gate</x:v>
      </x:c>
      <x:c r="H77" s="7" t="str">
        <x:v>Not checked</x:v>
      </x:c>
      <x:c r="I77" s="7" t="str"/>
      <x:c r="J77" s="7" t="str"/>
      <x:c r="K77" s="7" t="str"/>
    </x:row>
    <x:row r="78">
      <x:c r="A78" s="7" t="str">
        <x:v>K-SEC-04</x:v>
      </x:c>
      <x:c r="B78" s="7" t="str">
        <x:v>Security</x:v>
      </x:c>
      <x:c r="C78" s="7" t="str">
        <x:v>Visitor-uploaded files restrict extensions, ban executables/double extensions, and store files outside executable paths or in isolated storage.</x:v>
      </x:c>
      <x:c r="D78" s="7" t="str">
        <x:v>upload handlers/storage config</x:v>
      </x:c>
      <x:c r="E78" s="7" t="str">
        <x:v>Try .exe, .php, .jpg.exe; confirm rejection/isolation.</x:v>
      </x:c>
      <x:c r="F78" s="7" t="str">
        <x:v>Critical</x:v>
      </x:c>
      <x:c r="G78" s="7" t="str">
        <x:v>Development gate</x:v>
      </x:c>
      <x:c r="H78" s="7" t="str">
        <x:v>Not checked</x:v>
      </x:c>
      <x:c r="I78" s="7" t="str"/>
      <x:c r="J78" s="7" t="str"/>
      <x:c r="K78" s="7" t="str"/>
    </x:row>
    <x:row r="79">
      <x:c r="A79" s="7" t="str">
        <x:v>K-SEC-05</x:v>
      </x:c>
      <x:c r="B79" s="7" t="str">
        <x:v>Security</x:v>
      </x:c>
      <x:c r="C79" s="7" t="str">
        <x:v>Passwords are hashed/encrypted securely; password policy and account lockout are implemented.</x:v>
      </x:c>
      <x:c r="D79" s="7" t="str">
        <x:v>auth module/database</x:v>
      </x:c>
      <x:c r="E79" s="7" t="str">
        <x:v>Verify hash algorithm; test weak password and 3 failed logins lockout.</x:v>
      </x:c>
      <x:c r="F79" s="7" t="str">
        <x:v>Critical</x:v>
      </x:c>
      <x:c r="G79" s="7" t="str">
        <x:v>Development gate</x:v>
      </x:c>
      <x:c r="H79" s="7" t="str">
        <x:v>Not checked</x:v>
      </x:c>
      <x:c r="I79" s="7" t="str"/>
      <x:c r="J79" s="7" t="str"/>
      <x:c r="K79" s="7" t="str"/>
    </x:row>
    <x:row r="80">
      <x:c r="A80" s="7" t="str">
        <x:v>K-SEC-06</x:v>
      </x:c>
      <x:c r="B80" s="7" t="str">
        <x:v>Security</x:v>
      </x:c>
      <x:c r="C80" s="7" t="str">
        <x:v>Sessions/cookies use Secure, HttpOnly, and SameSite; CSRF protection enabled for state-changing requests.</x:v>
      </x:c>
      <x:c r="D80" s="7" t="str">
        <x:v>auth/session/csrf config</x:v>
      </x:c>
      <x:c r="E80" s="7" t="str">
        <x:v>Inspect cookies and test form POST without CSRF token.</x:v>
      </x:c>
      <x:c r="F80" s="7" t="str">
        <x:v>Critical</x:v>
      </x:c>
      <x:c r="G80" s="7" t="str">
        <x:v>Development gate</x:v>
      </x:c>
      <x:c r="H80" s="7" t="str">
        <x:v>Not checked</x:v>
      </x:c>
      <x:c r="I80" s="7" t="str"/>
      <x:c r="J80" s="7" t="str"/>
      <x:c r="K80" s="7" t="str"/>
    </x:row>
    <x:row r="81">
      <x:c r="A81" s="7" t="str">
        <x:v>K-SEC-07</x:v>
      </x:c>
      <x:c r="B81" s="7" t="str">
        <x:v>Security</x:v>
      </x:c>
      <x:c r="C81" s="7" t="str">
        <x:v>Security headers are configured: CSP, HSTS, X-Frame-Options/frame-ancestors, X-Content-Type-Options, Referrer-Policy.</x:v>
      </x:c>
      <x:c r="D81" s="7" t="str">
        <x:v>web server/app middleware</x:v>
      </x:c>
      <x:c r="E81" s="7" t="str">
        <x:v>Check response headers on major pages.</x:v>
      </x:c>
      <x:c r="F81" s="7" t="str">
        <x:v>High</x:v>
      </x:c>
      <x:c r="G81" s="7" t="str">
        <x:v>Pre-release</x:v>
      </x:c>
      <x:c r="H81" s="7" t="str">
        <x:v>Not checked</x:v>
      </x:c>
      <x:c r="I81" s="7" t="str"/>
      <x:c r="J81" s="7" t="str"/>
      <x:c r="K81" s="7" t="str"/>
    </x:row>
    <x:row r="82">
      <x:c r="A82" s="7" t="str">
        <x:v>K-SEC-08</x:v>
      </x:c>
      <x:c r="B82" s="7" t="str">
        <x:v>Security</x:v>
      </x:c>
      <x:c r="C82" s="7" t="str">
        <x:v>User-facing error messages do not expose internal structure; detailed errors stay in logs.</x:v>
      </x:c>
      <x:c r="D82" s="7" t="str">
        <x:v>error templates/logging</x:v>
      </x:c>
      <x:c r="E82" s="7" t="str">
        <x:v>Force validation/server error and inspect page vs log.</x:v>
      </x:c>
      <x:c r="F82" s="7" t="str">
        <x:v>Critical</x:v>
      </x:c>
      <x:c r="G82" s="7" t="str">
        <x:v>Development gate</x:v>
      </x:c>
      <x:c r="H82" s="7" t="str">
        <x:v>Not checked</x:v>
      </x:c>
      <x:c r="I82" s="7" t="str"/>
      <x:c r="J82" s="7" t="str"/>
      <x:c r="K82" s="7" t="str"/>
    </x:row>
    <x:row r="83">
      <x:c r="A83" s="7" t="str">
        <x:v>K-SEC-09</x:v>
      </x:c>
      <x:c r="B83" s="7" t="str">
        <x:v>Security</x:v>
      </x:c>
      <x:c r="C83" s="7" t="str">
        <x:v>APIs use HTTPS, strong authentication/authorization, token expiration, rate limits, and input validation.</x:v>
      </x:c>
      <x:c r="D83" s="7" t="str">
        <x:v>API routes/controllers/middleware</x:v>
      </x:c>
      <x:c r="E83" s="7" t="str">
        <x:v>Review API middleware and test expired token/rate limit/invalid parameters.</x:v>
      </x:c>
      <x:c r="F83" s="7" t="str">
        <x:v>Critical</x:v>
      </x:c>
      <x:c r="G83" s="7" t="str">
        <x:v>Development gate</x:v>
      </x:c>
      <x:c r="H83" s="7" t="str">
        <x:v>Not checked</x:v>
      </x:c>
      <x:c r="I83" s="7" t="str"/>
      <x:c r="J83" s="7" t="str"/>
      <x:c r="K83" s="7" t="str"/>
    </x:row>
    <x:row r="84">
      <x:c r="A84" s="7" t="str">
        <x:v>K-SEC-10</x:v>
      </x:c>
      <x:c r="B84" s="7" t="str">
        <x:v>Security</x:v>
      </x:c>
      <x:c r="C84" s="7" t="str">
        <x:v>API identifiers are opaque where required and URLs do not expose sensitive data.</x:v>
      </x:c>
      <x:c r="D84" s="7" t="str">
        <x:v>API routes/models/logs</x:v>
      </x:c>
      <x:c r="E84" s="7" t="str">
        <x:v>Inspect routes/logs for usernames/passwords/tokens/sequential sensitive IDs.</x:v>
      </x:c>
      <x:c r="F84" s="7" t="str">
        <x:v>High</x:v>
      </x:c>
      <x:c r="G84" s="7" t="str">
        <x:v>Development</x:v>
      </x:c>
      <x:c r="H84" s="7" t="str">
        <x:v>Not checked</x:v>
      </x:c>
      <x:c r="I84" s="7" t="str"/>
      <x:c r="J84" s="7" t="str"/>
      <x:c r="K84" s="7" t="str"/>
    </x:row>
    <x:row r="85">
      <x:c r="A85" s="7" t="str">
        <x:v>K-SEC-11</x:v>
      </x:c>
      <x:c r="B85" s="7" t="str">
        <x:v>Security</x:v>
      </x:c>
      <x:c r="C85" s="7" t="str">
        <x:v>API access can be restricted by IP/timestamp where integration requirements demand it.</x:v>
      </x:c>
      <x:c r="D85" s="7" t="str">
        <x:v>API gateway/middleware/integration docs</x:v>
      </x:c>
      <x:c r="E85" s="7" t="str">
        <x:v>Verify timestamp tolerance and IP filtering in staging/test.</x:v>
      </x:c>
      <x:c r="F85" s="7" t="str">
        <x:v>Medium</x:v>
      </x:c>
      <x:c r="G85" s="7" t="str">
        <x:v>Pre-release</x:v>
      </x:c>
      <x:c r="H85" s="7" t="str">
        <x:v>Not checked</x:v>
      </x:c>
      <x:c r="I85" s="7" t="str"/>
      <x:c r="J85" s="7" t="str"/>
      <x:c r="K85" s="7" t="str"/>
    </x:row>
    <x:row r="86">
      <x:c r="A86" s="7" t="str">
        <x:v>K-SEC-12</x:v>
      </x:c>
      <x:c r="B86" s="7" t="str">
        <x:v>Security</x:v>
      </x:c>
      <x:c r="C86" s="7" t="str">
        <x:v>Malware protection, backups, restore procedure, and default account/settings hardening are documented.</x:v>
      </x:c>
      <x:c r="D86" s="7" t="str">
        <x:v>hosting notes/devops docs</x:v>
      </x:c>
      <x:c r="E86" s="7" t="str">
        <x:v>Review hosting checklist; test restore in non-production if possible.</x:v>
      </x:c>
      <x:c r="F86" s="7" t="str">
        <x:v>High</x:v>
      </x:c>
      <x:c r="G86" s="7" t="str">
        <x:v>Pre-release</x:v>
      </x:c>
      <x:c r="H86" s="7" t="str">
        <x:v>Not checked</x:v>
      </x:c>
      <x:c r="I86" s="7" t="str"/>
      <x:c r="J86" s="7" t="str"/>
      <x:c r="K86" s="7" t="str"/>
    </x:row>
    <x:row r="87">
      <x:c r="A87" s="7" t="str">
        <x:v>K-INT-01</x:v>
      </x:c>
      <x:c r="B87" s="7" t="str">
        <x:v>E-government integration</x:v>
      </x:c>
      <x:c r="C87" s="7" t="str">
        <x:v>If Kinjo integrates with government services, integration pattern is documented: direct web service, adapter, or service wrapper/GSB.</x:v>
      </x:c>
      <x:c r="D87" s="7" t="str">
        <x:v>integration docs/API clients/config</x:v>
      </x:c>
      <x:c r="E87" s="7" t="str">
        <x:v>Identify each external service and record pattern, owner, endpoint, protocol.</x:v>
      </x:c>
      <x:c r="F87" s="7" t="str">
        <x:v>High</x:v>
      </x:c>
      <x:c r="G87" s="7" t="str">
        <x:v>Architecture</x:v>
      </x:c>
      <x:c r="H87" s="7" t="str">
        <x:v>Not checked</x:v>
      </x:c>
      <x:c r="I87" s="7" t="str"/>
      <x:c r="J87" s="7" t="str"/>
      <x:c r="K87" s="7" t="str"/>
    </x:row>
    <x:row r="88">
      <x:c r="A88" s="7" t="str">
        <x:v>K-INT-02</x:v>
      </x:c>
      <x:c r="B88" s="7" t="str">
        <x:v>E-government integration</x:v>
      </x:c>
      <x:c r="C88" s="7" t="str">
        <x:v>Service consumers are decoupled from providers through a service layer/client abstraction.</x:v>
      </x:c>
      <x:c r="D88" s="7" t="str">
        <x:v>service classes/API clients</x:v>
      </x:c>
      <x:c r="E88" s="7" t="str">
        <x:v>Review code for direct endpoint calls inside UI/controllers.</x:v>
      </x:c>
      <x:c r="F88" s="7" t="str">
        <x:v>High</x:v>
      </x:c>
      <x:c r="G88" s="7" t="str">
        <x:v>Development</x:v>
      </x:c>
      <x:c r="H88" s="7" t="str">
        <x:v>Not checked</x:v>
      </x:c>
      <x:c r="I88" s="7" t="str"/>
      <x:c r="J88" s="7" t="str"/>
      <x:c r="K88" s="7" t="str"/>
    </x:row>
    <x:row r="89">
      <x:c r="A89" s="7" t="str">
        <x:v>K-INT-03</x:v>
      </x:c>
      <x:c r="B89" s="7" t="str">
        <x:v>E-government integration</x:v>
      </x:c>
      <x:c r="C89" s="7" t="str">
        <x:v>Integration logging, monitoring, retries, and failure handling are centralized.</x:v>
      </x:c>
      <x:c r="D89" s="7" t="str">
        <x:v>integration middleware/logging</x:v>
      </x:c>
      <x:c r="E89" s="7" t="str">
        <x:v>Simulate downstream failure and verify retry/error path.</x:v>
      </x:c>
      <x:c r="F89" s="7" t="str">
        <x:v>High</x:v>
      </x:c>
      <x:c r="G89" s="7" t="str">
        <x:v>Development</x:v>
      </x:c>
      <x:c r="H89" s="7" t="str">
        <x:v>Not checked</x:v>
      </x:c>
      <x:c r="I89" s="7" t="str"/>
      <x:c r="J89" s="7" t="str"/>
      <x:c r="K89" s="7" t="str"/>
    </x:row>
    <x:row r="90">
      <x:c r="A90" s="7" t="str">
        <x:v>K-INT-04</x:v>
      </x:c>
      <x:c r="B90" s="7" t="str">
        <x:v>E-government integration</x:v>
      </x:c>
      <x:c r="C90" s="7" t="str">
        <x:v>Authentication/identity integration requirements are documented, including SSO/SAML/OAuth if applicable.</x:v>
      </x:c>
      <x:c r="D90" s="7" t="str">
        <x:v>auth docs/config</x:v>
      </x:c>
      <x:c r="E90" s="7" t="str">
        <x:v>Confirm chosen identity mechanism and test login/logout/token expiry.</x:v>
      </x:c>
      <x:c r="F90" s="7" t="str">
        <x:v>High</x:v>
      </x:c>
      <x:c r="G90" s="7" t="str">
        <x:v>Architecture</x:v>
      </x:c>
      <x:c r="H90" s="7" t="str">
        <x:v>Not checked</x:v>
      </x:c>
      <x:c r="I90" s="7" t="str"/>
      <x:c r="J90" s="7" t="str"/>
      <x:c r="K90" s="7" t="str"/>
    </x:row>
    <x:row r="91">
      <x:c r="A91" s="7" t="str">
        <x:v>K-INT-05</x:v>
      </x:c>
      <x:c r="B91" s="7" t="str">
        <x:v>E-government integration</x:v>
      </x:c>
      <x:c r="C91" s="7" t="str">
        <x:v>Shared services such as payment, notification, SMS/email, or contact center are abstracted and reusable.</x:v>
      </x:c>
      <x:c r="D91" s="7" t="str">
        <x:v>payment/notification/contact modules</x:v>
      </x:c>
      <x:c r="E91" s="7" t="str">
        <x:v>Check that business features call shared service modules, not duplicated code.</x:v>
      </x:c>
      <x:c r="F91" s="7" t="str">
        <x:v>Medium</x:v>
      </x:c>
      <x:c r="G91" s="7" t="str">
        <x:v>Development</x:v>
      </x:c>
      <x:c r="H91" s="7" t="str">
        <x:v>Not checked</x:v>
      </x:c>
      <x:c r="I91" s="7" t="str"/>
      <x:c r="J91" s="7" t="str"/>
      <x:c r="K91" s="7" t="str"/>
    </x:row>
    <x:row r="92">
      <x:c r="A92" s="7" t="str">
        <x:v>K-INT-06</x:v>
      </x:c>
      <x:c r="B92" s="7" t="str">
        <x:v>E-government integration</x:v>
      </x:c>
      <x:c r="C92" s="7" t="str">
        <x:v>API/interface specifications are maintained for every service, including request/response schemas and error codes.</x:v>
      </x:c>
      <x:c r="D92" s="7" t="str">
        <x:v>OpenAPI/Postman/API docs</x:v>
      </x:c>
      <x:c r="E92" s="7" t="str">
        <x:v>Compare implementation to spec; update missing fields/errors.</x:v>
      </x:c>
      <x:c r="F92" s="7" t="str">
        <x:v>High</x:v>
      </x:c>
      <x:c r="G92" s="7" t="str">
        <x:v>Development</x:v>
      </x:c>
      <x:c r="H92" s="7" t="str">
        <x:v>Not checked</x:v>
      </x:c>
      <x:c r="I92" s="7" t="str"/>
      <x:c r="J92" s="7" t="str"/>
      <x:c r="K92" s="7" t="str"/>
    </x:row>
    <x:row r="93">
      <x:c r="A93" s="7" t="str">
        <x:v>K-INT-07</x:v>
      </x:c>
      <x:c r="B93" s="7" t="str">
        <x:v>E-government integration</x:v>
      </x:c>
      <x:c r="C93" s="7" t="str">
        <x:v>Non-functional requirements are recorded: availability, response time, support hours, priority/severity definitions.</x:v>
      </x:c>
      <x:c r="D93" s="7" t="str">
        <x:v>NFR/SLA docs/support plan</x:v>
      </x:c>
      <x:c r="E93" s="7" t="str">
        <x:v>Review and add measurable targets per service.</x:v>
      </x:c>
      <x:c r="F93" s="7" t="str">
        <x:v>Medium</x:v>
      </x:c>
      <x:c r="G93" s="7" t="str">
        <x:v>Pre-release</x:v>
      </x:c>
      <x:c r="H93" s="7" t="str">
        <x:v>Not checked</x:v>
      </x:c>
      <x:c r="I93" s="7" t="str"/>
      <x:c r="J93" s="7" t="str"/>
      <x:c r="K93" s="7" t="str"/>
    </x:row>
    <x:row r="94">
      <x:c r="A94" s="7" t="str">
        <x:v>K-INT-08</x:v>
      </x:c>
      <x:c r="B94" s="7" t="str">
        <x:v>E-government integration</x:v>
      </x:c>
      <x:c r="C94" s="7" t="str">
        <x:v>UAT, change management, training, and knowledge-transfer items are tracked before go-live.</x:v>
      </x:c>
      <x:c r="D94" s="7" t="str">
        <x:v>UAT plan/training docs/release plan</x:v>
      </x:c>
      <x:c r="E94" s="7" t="str">
        <x:v>Prepare UAT scenarios and sign-off log.</x:v>
      </x:c>
      <x:c r="F94" s="7" t="str">
        <x:v>High</x:v>
      </x:c>
      <x:c r="G94" s="7" t="str">
        <x:v>Pre-release</x:v>
      </x:c>
      <x:c r="H94" s="7" t="str">
        <x:v>Not checked</x:v>
      </x:c>
      <x:c r="I94" s="7" t="str"/>
      <x:c r="J94" s="7" t="str"/>
      <x:c r="K94" s="7" t="str"/>
    </x:row>
  </x:sheetData>
  <x:conditionalFormatting sqref="H2:H94">
    <x:cfRule type="expression" dxfId="0" priority="1">
      <x:formula>H2="Match"</x:formula>
    </x:cfRule>
    <x:cfRule type="expression" dxfId="1" priority="2">
      <x:formula>H2="Partial"</x:formula>
    </x:cfRule>
    <x:cfRule type="expression" dxfId="2" priority="3">
      <x:formula>H2="Mismatch"</x:formula>
    </x:cfRule>
    <x:cfRule type="expression" dxfId="3" priority="4">
      <x:formula>H2="Deferred"</x:formula>
    </x:cfRule>
  </x:conditionalFormatting>
  <x:dataValidations count="3">
    <x:dataValidation type="list" sqref="H2:H94">
      <x:formula1>Lists!$A$2:$A$7</x:formula1>
    </x:dataValidation>
    <x:dataValidation type="list" sqref="F2:F94">
      <x:formula1>Lists!$C$2:$C$5</x:formula1>
    </x:dataValidation>
    <x:dataValidation type="list" sqref="G2:G94">
      <x:formula1>Lists!$E$2:$E$6</x:formula1>
    </x:dataValidation>
  </x:dataValidations>
  <x:pageMargins left="0.7" right="0.7" top="0.75" bottom="0.75" header="0.3" footer="0.3"/>
  <x:tableParts count="1">
    <x:tablePart xmlns:r="http://schemas.openxmlformats.org/officeDocument/2006/relationships" r:id="R6dbaf6d6b90e48eb"/>
  </x:tableParts>
</x:worksheet>
</file>

<file path=xl/worksheets/sheet3.xml><?xml version="1.0" encoding="utf-8"?>
<x:worksheet xmlns:x="http://schemas.openxmlformats.org/spreadsheetml/2006/main">
  <x:sheetFormatPr defaultRowHeight="15"/>
  <x:cols>
    <x:col min="1" max="1" width="14" hidden="0" customWidth="1"/>
    <x:col min="2" max="2" width="24" hidden="0" customWidth="1"/>
    <x:col min="3" max="3" width="38" hidden="0" customWidth="1"/>
    <x:col min="4" max="4" width="12" hidden="0" customWidth="1"/>
    <x:col min="5" max="5" width="65" hidden="0" customWidth="1"/>
    <x:col min="6" max="6" width="42" hidden="0" customWidth="1"/>
    <x:col min="7" max="7" width="16" hidden="0" customWidth="1"/>
    <x:col min="8" max="8" width="30" hidden="0" customWidth="1"/>
    <x:col min="9" max="9" width="30" hidden="0" customWidth="1"/>
    <x:col min="10" max="10" width="30" hidden="0" customWidth="1"/>
    <x:col min="11" max="11" width="30" hidden="0" customWidth="1"/>
  </x:cols>
  <x:sheetData>
    <x:row r="1" ht="28" customHeight="1">
      <x:c r="A1" s="11" t="str">
        <x:v>ID</x:v>
      </x:c>
      <x:c r="B1" s="11" t="str">
        <x:v>Component</x:v>
      </x:c>
      <x:c r="C1" s="11" t="str">
        <x:v>Guideline section</x:v>
      </x:c>
      <x:c r="D1" s="11" t="str">
        <x:v>Original item #</x:v>
      </x:c>
      <x:c r="E1" s="11" t="str">
        <x:v>Checklist item</x:v>
      </x:c>
      <x:c r="F1" s="11" t="str">
        <x:v>Source document</x:v>
      </x:c>
      <x:c r="G1" s="11" t="str">
        <x:v>Status</x:v>
      </x:c>
      <x:c r="H1" s="11" t="str">
        <x:v>Evidence / Notes</x:v>
      </x:c>
      <x:c r="I1" s="11" t="str">
        <x:v>Mismatch / Gap</x:v>
      </x:c>
      <x:c r="J1" s="11" t="str">
        <x:v>Owner</x:v>
      </x:c>
      <x:c r="K1" s="11" t="str">
        <x:v>Next action</x:v>
      </x:c>
    </x:row>
    <x:row r="2">
      <x:c r="A2" s="7" t="str">
        <x:v>A.1.1-001</x:v>
      </x:c>
      <x:c r="B2" s="7" t="str">
        <x:v>Component 1 - Accessibility</x:v>
      </x:c>
      <x:c r="C2" s="7" t="str">
        <x:v>A.1.1 Domain Naming Conventions and Uniform Resource Locators</x:v>
      </x:c>
      <x:c r="D2" s="7" t="n">
        <x:v>1</x:v>
      </x:c>
      <x:c r="E2" s="7" t="str">
        <x:v>Does the domain name end with.gov.jo? Are the departments and functions reflected as sub-domains? For example:</x:v>
      </x:c>
      <x:c r="F2" s="7" t="str">
        <x:v>Uploaded: gws_checklist_2019-modee-v6.0-en-1.pdf</x:v>
      </x:c>
      <x:c r="G2" s="7" t="str">
        <x:v>Not checked</x:v>
      </x:c>
      <x:c r="H2" s="7" t="str"/>
      <x:c r="I2" s="7" t="str"/>
      <x:c r="J2" s="7" t="str"/>
      <x:c r="K2" s="7" t="str"/>
    </x:row>
    <x:row r="3">
      <x:c r="A3" s="7" t="str">
        <x:v>A.1.1-002</x:v>
      </x:c>
      <x:c r="B3" s="7" t="str">
        <x:v>Component 1 - Accessibility</x:v>
      </x:c>
      <x:c r="C3" s="7" t="str">
        <x:v>A.1.1 Domain Naming Conventions and Uniform Resource Locators</x:v>
      </x:c>
      <x:c r="D3" s="7" t="n">
        <x:v>2</x:v>
      </x:c>
      <x:c r="E3" s="7" t="str">
        <x:v>eservices.modee.gov.jo, intranet.Modee.gov.jo”, “hr.modee.gov.jo”.</x:v>
      </x:c>
      <x:c r="F3" s="7" t="str">
        <x:v>Uploaded: gws_checklist_2019-modee-v6.0-en-1.pdf</x:v>
      </x:c>
      <x:c r="G3" s="7" t="str">
        <x:v>Not checked</x:v>
      </x:c>
      <x:c r="H3" s="7" t="str"/>
      <x:c r="I3" s="7" t="str"/>
      <x:c r="J3" s="7" t="str"/>
      <x:c r="K3" s="7" t="str"/>
    </x:row>
    <x:row r="4">
      <x:c r="A4" s="7" t="str">
        <x:v>A.1.1-003</x:v>
      </x:c>
      <x:c r="B4" s="7" t="str">
        <x:v>Component 1 - Accessibility</x:v>
      </x:c>
      <x:c r="C4" s="7" t="str">
        <x:v>A.1.1 Domain Naming Conventions and Uniform Resource Locators</x:v>
      </x:c>
      <x:c r="D4" s="7" t="n">
        <x:v>3</x:v>
      </x:c>
      <x:c r="E4" s="7" t="str">
        <x:v>Does the entity have short domain name convention? For example: www.modee.gov.jo.</x:v>
      </x:c>
      <x:c r="F4" s="7" t="str">
        <x:v>Uploaded: gws_checklist_2019-modee-v6.0-en-1.pdf</x:v>
      </x:c>
      <x:c r="G4" s="7" t="str">
        <x:v>Not checked</x:v>
      </x:c>
      <x:c r="H4" s="7" t="str"/>
      <x:c r="I4" s="7" t="str"/>
      <x:c r="J4" s="7" t="str"/>
      <x:c r="K4" s="7" t="str"/>
    </x:row>
    <x:row r="5">
      <x:c r="A5" s="7" t="str">
        <x:v>A.1.1-004</x:v>
      </x:c>
      <x:c r="B5" s="7" t="str">
        <x:v>Component 1 - Accessibility</x:v>
      </x:c>
      <x:c r="C5" s="7" t="str">
        <x:v>A.1.1 Domain Naming Conventions and Uniform Resource Locators</x:v>
      </x:c>
      <x:c r="D5" s="7" t="n">
        <x:v>4</x:v>
      </x:c>
      <x:c r="E5" s="7" t="str">
        <x:v>Does the entity have a long domain name convention? For example: www.digitaleconomic.gov.jo</x:v>
      </x:c>
      <x:c r="F5" s="7" t="str">
        <x:v>Uploaded: gws_checklist_2019-modee-v6.0-en-1.pdf</x:v>
      </x:c>
      <x:c r="G5" s="7" t="str">
        <x:v>Not checked</x:v>
      </x:c>
      <x:c r="H5" s="7" t="str"/>
      <x:c r="I5" s="7" t="str"/>
      <x:c r="J5" s="7" t="str"/>
      <x:c r="K5" s="7" t="str"/>
    </x:row>
    <x:row r="6">
      <x:c r="A6" s="7" t="str">
        <x:v>A.1.1-005</x:v>
      </x:c>
      <x:c r="B6" s="7" t="str">
        <x:v>Component 1 - Accessibility</x:v>
      </x:c>
      <x:c r="C6" s="7" t="str">
        <x:v>A.1.1 Domain Naming Conventions and Uniform Resource Locators</x:v>
      </x:c>
      <x:c r="D6" s="7" t="n">
        <x:v>5</x:v>
      </x:c>
      <x:c r="E6" s="7" t="str">
        <x:v>Does the entity have an Arabic domain name convention? For example: ‫ياألردن‬.‫الريادة‬-‫و‬-‫الرقمي‬-‫االقتصاد‬</x:v>
      </x:c>
      <x:c r="F6" s="7" t="str">
        <x:v>Uploaded: gws_checklist_2019-modee-v6.0-en-1.pdf</x:v>
      </x:c>
      <x:c r="G6" s="7" t="str">
        <x:v>Not checked</x:v>
      </x:c>
      <x:c r="H6" s="7" t="str"/>
      <x:c r="I6" s="7" t="str"/>
      <x:c r="J6" s="7" t="str"/>
      <x:c r="K6" s="7" t="str"/>
    </x:row>
    <x:row r="7">
      <x:c r="A7" s="7" t="str">
        <x:v>A.1.1-006</x:v>
      </x:c>
      <x:c r="B7" s="7" t="str">
        <x:v>Component 1 - Accessibility</x:v>
      </x:c>
      <x:c r="C7" s="7" t="str">
        <x:v>A.1.1 Domain Naming Conventions and Uniform Resource Locators</x:v>
      </x:c>
      <x:c r="D7" s="7" t="n">
        <x:v>6</x:v>
      </x:c>
      <x:c r="E7" s="7" t="str">
        <x:v>Is the domain name accessible through https? For example: https://modee.gov.jo</x:v>
      </x:c>
      <x:c r="F7" s="7" t="str">
        <x:v>Uploaded: gws_checklist_2019-modee-v6.0-en-1.pdf</x:v>
      </x:c>
      <x:c r="G7" s="7" t="str">
        <x:v>Not checked</x:v>
      </x:c>
      <x:c r="H7" s="7" t="str"/>
      <x:c r="I7" s="7" t="str"/>
      <x:c r="J7" s="7" t="str"/>
      <x:c r="K7" s="7" t="str"/>
    </x:row>
    <x:row r="8">
      <x:c r="A8" s="7" t="str">
        <x:v>A.1.1-007</x:v>
      </x:c>
      <x:c r="B8" s="7" t="str">
        <x:v>Component 1 - Accessibility</x:v>
      </x:c>
      <x:c r="C8" s="7" t="str">
        <x:v>A.1.1 Domain Naming Conventions and Uniform Resource Locators</x:v>
      </x:c>
      <x:c r="D8" s="7" t="n">
        <x:v>7</x:v>
      </x:c>
      <x:c r="E8" s="7" t="str">
        <x:v>Can the domain name be accessed with and without “www” prefix? For example: www.modee.gov.jo and modee.gov.jo</x:v>
      </x:c>
      <x:c r="F8" s="7" t="str">
        <x:v>Uploaded: gws_checklist_2019-modee-v6.0-en-1.pdf</x:v>
      </x:c>
      <x:c r="G8" s="7" t="str">
        <x:v>Not checked</x:v>
      </x:c>
      <x:c r="H8" s="7" t="str"/>
      <x:c r="I8" s="7" t="str"/>
      <x:c r="J8" s="7" t="str"/>
      <x:c r="K8" s="7" t="str"/>
    </x:row>
    <x:row r="9">
      <x:c r="A9" s="7" t="str">
        <x:v>A.1.1-008</x:v>
      </x:c>
      <x:c r="B9" s="7" t="str">
        <x:v>Component 1 - Accessibility</x:v>
      </x:c>
      <x:c r="C9" s="7" t="str">
        <x:v>A.1.1 Domain Naming Conventions and Uniform Resource Locators</x:v>
      </x:c>
      <x:c r="D9" s="7" t="n">
        <x:v>8</x:v>
      </x:c>
      <x:c r="E9" s="7" t="str">
        <x:v>Does the URL clearly reflect directories and webpages in Arabic and English? For example: www.modee.gov.jo/news, www.modee.gov.jo/‫االخبار‬</x:v>
      </x:c>
      <x:c r="F9" s="7" t="str">
        <x:v>Uploaded: gws_checklist_2019-modee-v6.0-en-1.pdf</x:v>
      </x:c>
      <x:c r="G9" s="7" t="str">
        <x:v>Not checked</x:v>
      </x:c>
      <x:c r="H9" s="7" t="str"/>
      <x:c r="I9" s="7" t="str"/>
      <x:c r="J9" s="7" t="str"/>
      <x:c r="K9" s="7" t="str"/>
    </x:row>
    <x:row r="10">
      <x:c r="A10" s="7" t="str">
        <x:v>A.1.2-009</x:v>
      </x:c>
      <x:c r="B10" s="7" t="str">
        <x:v>Component 1 - Accessibility</x:v>
      </x:c>
      <x:c r="C10" s="7" t="str">
        <x:v>A.1.2 Discoverability and Search Engine Optimization</x:v>
      </x:c>
      <x:c r="D10" s="7" t="n">
        <x:v>9</x:v>
      </x:c>
      <x:c r="E10" s="7" t="str">
        <x:v>Are website pages well linked, where each website page leads to where it is supposed to lead?</x:v>
      </x:c>
      <x:c r="F10" s="7" t="str">
        <x:v>Uploaded: gws_checklist_2019-modee-v6.0-en-1.pdf</x:v>
      </x:c>
      <x:c r="G10" s="7" t="str">
        <x:v>Not checked</x:v>
      </x:c>
      <x:c r="H10" s="7" t="str"/>
      <x:c r="I10" s="7" t="str"/>
      <x:c r="J10" s="7" t="str"/>
      <x:c r="K10" s="7" t="str"/>
    </x:row>
    <x:row r="11">
      <x:c r="A11" s="7" t="str">
        <x:v>A.1.2-010</x:v>
      </x:c>
      <x:c r="B11" s="7" t="str">
        <x:v>Component 1 - Accessibility</x:v>
      </x:c>
      <x:c r="C11" s="7" t="str">
        <x:v>A.1.2 Discoverability and Search Engine Optimization</x:v>
      </x:c>
      <x:c r="D11" s="7" t="n">
        <x:v>10</x:v>
      </x:c>
      <x:c r="E11" s="7" t="str">
        <x:v>Does the website have an XML sitemap?</x:v>
      </x:c>
      <x:c r="F11" s="7" t="str">
        <x:v>Uploaded: gws_checklist_2019-modee-v6.0-en-1.pdf</x:v>
      </x:c>
      <x:c r="G11" s="7" t="str">
        <x:v>Not checked</x:v>
      </x:c>
      <x:c r="H11" s="7" t="str"/>
      <x:c r="I11" s="7" t="str"/>
      <x:c r="J11" s="7" t="str"/>
      <x:c r="K11" s="7" t="str"/>
    </x:row>
    <x:row r="12">
      <x:c r="A12" s="7" t="str">
        <x:v>A.1.2-011</x:v>
      </x:c>
      <x:c r="B12" s="7" t="str">
        <x:v>Component 1 - Accessibility</x:v>
      </x:c>
      <x:c r="C12" s="7" t="str">
        <x:v>A.1.2 Discoverability and Search Engine Optimization</x:v>
      </x:c>
      <x:c r="D12" s="7" t="n">
        <x:v>11</x:v>
      </x:c>
      <x:c r="E12" s="7" t="str">
        <x:v>Do webpages contain Description Tags, Title Tags and Keywords Tags?</x:v>
      </x:c>
      <x:c r="F12" s="7" t="str">
        <x:v>Uploaded: gws_checklist_2019-modee-v6.0-en-1.pdf</x:v>
      </x:c>
      <x:c r="G12" s="7" t="str">
        <x:v>Not checked</x:v>
      </x:c>
      <x:c r="H12" s="7" t="str"/>
      <x:c r="I12" s="7" t="str"/>
      <x:c r="J12" s="7" t="str"/>
      <x:c r="K12" s="7" t="str"/>
    </x:row>
    <x:row r="13">
      <x:c r="A13" s="7" t="str">
        <x:v>A.1.2-012</x:v>
      </x:c>
      <x:c r="B13" s="7" t="str">
        <x:v>Component 1 - Accessibility</x:v>
      </x:c>
      <x:c r="C13" s="7" t="str">
        <x:v>A.1.2 Discoverability and Search Engine Optimization</x:v>
      </x:c>
      <x:c r="D13" s="7" t="n">
        <x:v>12</x:v>
      </x:c>
      <x:c r="E13" s="7" t="str">
        <x:v>Are Meta tags unique, meaningful, and relevant?</x:v>
      </x:c>
      <x:c r="F13" s="7" t="str">
        <x:v>Uploaded: gws_checklist_2019-modee-v6.0-en-1.pdf</x:v>
      </x:c>
      <x:c r="G13" s="7" t="str">
        <x:v>Not checked</x:v>
      </x:c>
      <x:c r="H13" s="7" t="str"/>
      <x:c r="I13" s="7" t="str"/>
      <x:c r="J13" s="7" t="str"/>
      <x:c r="K13" s="7" t="str"/>
    </x:row>
    <x:row r="14">
      <x:c r="A14" s="7" t="str">
        <x:v>A.1.2-013</x:v>
      </x:c>
      <x:c r="B14" s="7" t="str">
        <x:v>Component 1 - Accessibility</x:v>
      </x:c>
      <x:c r="C14" s="7" t="str">
        <x:v>A.1.2 Discoverability and Search Engine Optimization</x:v>
      </x:c>
      <x:c r="D14" s="7" t="n">
        <x:v>13</x:v>
      </x:c>
      <x:c r="E14" s="7" t="str">
        <x:v>Does graphical content have proper ALT-values?</x:v>
      </x:c>
      <x:c r="F14" s="7" t="str">
        <x:v>Uploaded: gws_checklist_2019-modee-v6.0-en-1.pdf</x:v>
      </x:c>
      <x:c r="G14" s="7" t="str">
        <x:v>Not checked</x:v>
      </x:c>
      <x:c r="H14" s="7" t="str"/>
      <x:c r="I14" s="7" t="str"/>
      <x:c r="J14" s="7" t="str"/>
      <x:c r="K14" s="7" t="str"/>
    </x:row>
    <x:row r="15">
      <x:c r="A15" s="7" t="str">
        <x:v>A.1.2-014</x:v>
      </x:c>
      <x:c r="B15" s="7" t="str">
        <x:v>Component 1 - Accessibility</x:v>
      </x:c>
      <x:c r="C15" s="7" t="str">
        <x:v>A.1.2 Discoverability and Search Engine Optimization</x:v>
      </x:c>
      <x:c r="D15" s="7" t="n">
        <x:v>14</x:v>
      </x:c>
      <x:c r="E15" s="7" t="str">
        <x:v>Are the page titles and headings easy-to-read and clear?</x:v>
      </x:c>
      <x:c r="F15" s="7" t="str">
        <x:v>Uploaded: gws_checklist_2019-modee-v6.0-en-1.pdf</x:v>
      </x:c>
      <x:c r="G15" s="7" t="str">
        <x:v>Not checked</x:v>
      </x:c>
      <x:c r="H15" s="7" t="str"/>
      <x:c r="I15" s="7" t="str"/>
      <x:c r="J15" s="7" t="str"/>
      <x:c r="K15" s="7" t="str"/>
    </x:row>
    <x:row r="16">
      <x:c r="A16" s="7" t="str">
        <x:v>A.1.3-015</x:v>
      </x:c>
      <x:c r="B16" s="7" t="str">
        <x:v>Component 1 - Accessibility</x:v>
      </x:c>
      <x:c r="C16" s="7" t="str">
        <x:v>A.1.3 Cross Browsing and Screen Resolution</x:v>
      </x:c>
      <x:c r="D16" s="7" t="n">
        <x:v>15</x:v>
      </x:c>
      <x:c r="E16" s="7" t="str">
        <x:v>Does the website support the below browsers at minimum? - Internet Explorer 11.0 and above - Microsoft Edge 40.0 and above - Firefox 60.0 and above - Safari 11.0 and above - Google Chrome 70.0 and above - Opera 57.0 and above</x:v>
      </x:c>
      <x:c r="F16" s="7" t="str">
        <x:v>Uploaded: gws_checklist_2019-modee-v6.0-en-1.pdf</x:v>
      </x:c>
      <x:c r="G16" s="7" t="str">
        <x:v>Not checked</x:v>
      </x:c>
      <x:c r="H16" s="7" t="str"/>
      <x:c r="I16" s="7" t="str"/>
      <x:c r="J16" s="7" t="str"/>
      <x:c r="K16" s="7" t="str"/>
    </x:row>
    <x:row r="17">
      <x:c r="A17" s="7" t="str">
        <x:v>A.1.3-016</x:v>
      </x:c>
      <x:c r="B17" s="7" t="str">
        <x:v>Component 1 - Accessibility</x:v>
      </x:c>
      <x:c r="C17" s="7" t="str">
        <x:v>A.1.3 Cross Browsing and Screen Resolution</x:v>
      </x:c>
      <x:c r="D17" s="7" t="n">
        <x:v>16</x:v>
      </x:c>
      <x:c r="E17" s="7" t="str">
        <x:v>Is the website best viewed at 1366x768 screen resolution?</x:v>
      </x:c>
      <x:c r="F17" s="7" t="str">
        <x:v>Uploaded: gws_checklist_2019-modee-v6.0-en-1.pdf</x:v>
      </x:c>
      <x:c r="G17" s="7" t="str">
        <x:v>Not checked</x:v>
      </x:c>
      <x:c r="H17" s="7" t="str"/>
      <x:c r="I17" s="7" t="str"/>
      <x:c r="J17" s="7" t="str"/>
      <x:c r="K17" s="7" t="str"/>
    </x:row>
    <x:row r="18">
      <x:c r="A18" s="7" t="str">
        <x:v>A.1.4-017</x:v>
      </x:c>
      <x:c r="B18" s="7" t="str">
        <x:v>Component 1 - Accessibility</x:v>
      </x:c>
      <x:c r="C18" s="7" t="str">
        <x:v>A.1.4 Access to Language</x:v>
      </x:c>
      <x:c r="D18" s="7" t="n">
        <x:v>17</x:v>
      </x:c>
      <x:c r="E18" s="7" t="str">
        <x:v>Is the website bilingual (Arabic and English) at minimum?</x:v>
      </x:c>
      <x:c r="F18" s="7" t="str">
        <x:v>Uploaded: gws_checklist_2019-modee-v6.0-en-1.pdf</x:v>
      </x:c>
      <x:c r="G18" s="7" t="str">
        <x:v>Not checked</x:v>
      </x:c>
      <x:c r="H18" s="7" t="str"/>
      <x:c r="I18" s="7" t="str"/>
      <x:c r="J18" s="7" t="str"/>
      <x:c r="K18" s="7" t="str"/>
    </x:row>
    <x:row r="19">
      <x:c r="A19" s="7" t="str">
        <x:v>A.1.4-018</x:v>
      </x:c>
      <x:c r="B19" s="7" t="str">
        <x:v>Component 1 - Accessibility</x:v>
      </x:c>
      <x:c r="C19" s="7" t="str">
        <x:v>A.1.4 Access to Language</x:v>
      </x:c>
      <x:c r="D19" s="7" t="n">
        <x:v>18</x:v>
      </x:c>
      <x:c r="E19" s="7" t="str">
        <x:v>Is Arabic the default language of the website?</x:v>
      </x:c>
      <x:c r="F19" s="7" t="str">
        <x:v>Uploaded: gws_checklist_2019-modee-v6.0-en-1.pdf</x:v>
      </x:c>
      <x:c r="G19" s="7" t="str">
        <x:v>Not checked</x:v>
      </x:c>
      <x:c r="H19" s="7" t="str"/>
      <x:c r="I19" s="7" t="str"/>
      <x:c r="J19" s="7" t="str"/>
      <x:c r="K19" s="7" t="str"/>
    </x:row>
    <x:row r="20">
      <x:c r="A20" s="7" t="str">
        <x:v>A.1.4-019</x:v>
      </x:c>
      <x:c r="B20" s="7" t="str">
        <x:v>Component 1 - Accessibility</x:v>
      </x:c>
      <x:c r="C20" s="7" t="str">
        <x:v>A.1.4 Access to Language</x:v>
      </x:c>
      <x:c r="D20" s="7" t="n">
        <x:v>19</x:v>
      </x:c>
      <x:c r="E20" s="7" t="str">
        <x:v>Is the change-language button located consistently in the header?</x:v>
      </x:c>
      <x:c r="F20" s="7" t="str">
        <x:v>Uploaded: gws_checklist_2019-modee-v6.0-en-1.pdf</x:v>
      </x:c>
      <x:c r="G20" s="7" t="str">
        <x:v>Not checked</x:v>
      </x:c>
      <x:c r="H20" s="7" t="str"/>
      <x:c r="I20" s="7" t="str"/>
      <x:c r="J20" s="7" t="str"/>
      <x:c r="K20" s="7" t="str"/>
    </x:row>
    <x:row r="21">
      <x:c r="A21" s="7" t="str">
        <x:v>A.1.4-020</x:v>
      </x:c>
      <x:c r="B21" s="7" t="str">
        <x:v>Component 1 - Accessibility</x:v>
      </x:c>
      <x:c r="C21" s="7" t="str">
        <x:v>A.1.4 Access to Language</x:v>
      </x:c>
      <x:c r="D21" s="7" t="n">
        <x:v>20</x:v>
      </x:c>
      <x:c r="E21" s="7" t="str">
        <x:v>Does the change-language button appear as a full word, “English” to switch to the English version, "‫ "عربي‬to switch to the Arabic version?</x:v>
      </x:c>
      <x:c r="F21" s="7" t="str">
        <x:v>Uploaded: gws_checklist_2019-modee-v6.0-en-1.pdf</x:v>
      </x:c>
      <x:c r="G21" s="7" t="str">
        <x:v>Not checked</x:v>
      </x:c>
      <x:c r="H21" s="7" t="str"/>
      <x:c r="I21" s="7" t="str"/>
      <x:c r="J21" s="7" t="str"/>
      <x:c r="K21" s="7" t="str"/>
    </x:row>
    <x:row r="22">
      <x:c r="A22" s="7" t="str">
        <x:v>A.1.4-021</x:v>
      </x:c>
      <x:c r="B22" s="7" t="str">
        <x:v>Component 1 - Accessibility</x:v>
      </x:c>
      <x:c r="C22" s="7" t="str">
        <x:v>A.1.4 Access to Language</x:v>
      </x:c>
      <x:c r="D22" s="7" t="n">
        <x:v>21</x:v>
      </x:c>
      <x:c r="E22" s="7" t="str">
        <x:v>Will changing the language redirect the user to the opposite content in the other language?</x:v>
      </x:c>
      <x:c r="F22" s="7" t="str">
        <x:v>Uploaded: gws_checklist_2019-modee-v6.0-en-1.pdf</x:v>
      </x:c>
      <x:c r="G22" s="7" t="str">
        <x:v>Not checked</x:v>
      </x:c>
      <x:c r="H22" s="7" t="str"/>
      <x:c r="I22" s="7" t="str"/>
      <x:c r="J22" s="7" t="str"/>
      <x:c r="K22" s="7" t="str"/>
    </x:row>
    <x:row r="23">
      <x:c r="A23" s="7" t="str">
        <x:v>A.1.4-022</x:v>
      </x:c>
      <x:c r="B23" s="7" t="str">
        <x:v>Component 1 - Accessibility</x:v>
      </x:c>
      <x:c r="C23" s="7" t="str">
        <x:v>A.1.4 Access to Language</x:v>
      </x:c>
      <x:c r="D23" s="7" t="n">
        <x:v>22</x:v>
      </x:c>
      <x:c r="E23" s="7" t="str">
        <x:v>If the content doesn’t exist in the selected language, does the site mention that the content isn’t available in the selected language?</x:v>
      </x:c>
      <x:c r="F23" s="7" t="str">
        <x:v>Uploaded: gws_checklist_2019-modee-v6.0-en-1.pdf</x:v>
      </x:c>
      <x:c r="G23" s="7" t="str">
        <x:v>Not checked</x:v>
      </x:c>
      <x:c r="H23" s="7" t="str"/>
      <x:c r="I23" s="7" t="str"/>
      <x:c r="J23" s="7" t="str"/>
      <x:c r="K23" s="7" t="str"/>
    </x:row>
    <x:row r="24">
      <x:c r="A24" s="7" t="str">
        <x:v>A.1.4-023</x:v>
      </x:c>
      <x:c r="B24" s="7" t="str">
        <x:v>Component 1 - Accessibility</x:v>
      </x:c>
      <x:c r="C24" s="7" t="str">
        <x:v>A.1.4 Access to Language</x:v>
      </x:c>
      <x:c r="D24" s="7" t="n">
        <x:v>23</x:v>
      </x:c>
      <x:c r="E24" s="7" t="str">
        <x:v>Do files and links match the language the visitor is using? For example, in the English version, all downloadable files are in English.</x:v>
      </x:c>
      <x:c r="F24" s="7" t="str">
        <x:v>Uploaded: gws_checklist_2019-modee-v6.0-en-1.pdf</x:v>
      </x:c>
      <x:c r="G24" s="7" t="str">
        <x:v>Not checked</x:v>
      </x:c>
      <x:c r="H24" s="7" t="str"/>
      <x:c r="I24" s="7" t="str"/>
      <x:c r="J24" s="7" t="str"/>
      <x:c r="K24" s="7" t="str"/>
    </x:row>
    <x:row r="25">
      <x:c r="A25" s="7" t="str">
        <x:v>A.1.5-024</x:v>
      </x:c>
      <x:c r="B25" s="7" t="str">
        <x:v>Component 1 - Accessibility</x:v>
      </x:c>
      <x:c r="C25" s="7" t="str">
        <x:v>A.1.5 Accessibility Actions</x:v>
      </x:c>
      <x:c r="D25" s="7" t="n">
        <x:v>24</x:v>
      </x:c>
      <x:c r="E25" s="7" t="str">
        <x:v>Is the accessibility bar easily found, clear, and consistent?</x:v>
      </x:c>
      <x:c r="F25" s="7" t="str">
        <x:v>Uploaded: gws_checklist_2019-modee-v6.0-en-1.pdf</x:v>
      </x:c>
      <x:c r="G25" s="7" t="str">
        <x:v>Not checked</x:v>
      </x:c>
      <x:c r="H25" s="7" t="str"/>
      <x:c r="I25" s="7" t="str"/>
      <x:c r="J25" s="7" t="str"/>
      <x:c r="K25" s="7" t="str"/>
    </x:row>
    <x:row r="26">
      <x:c r="A26" s="7" t="str">
        <x:v>A.1.5-025</x:v>
      </x:c>
      <x:c r="B26" s="7" t="str">
        <x:v>Component 1 - Accessibility</x:v>
      </x:c>
      <x:c r="C26" s="7" t="str">
        <x:v>A.1.5 Accessibility Actions</x:v>
      </x:c>
      <x:c r="D26" s="7" t="n">
        <x:v>25</x:v>
      </x:c>
      <x:c r="E26" s="7" t="str">
        <x:v>Does the website support text resizing?</x:v>
      </x:c>
      <x:c r="F26" s="7" t="str">
        <x:v>Uploaded: gws_checklist_2019-modee-v6.0-en-1.pdf</x:v>
      </x:c>
      <x:c r="G26" s="7" t="str">
        <x:v>Not checked</x:v>
      </x:c>
      <x:c r="H26" s="7" t="str"/>
      <x:c r="I26" s="7" t="str"/>
      <x:c r="J26" s="7" t="str"/>
      <x:c r="K26" s="7" t="str"/>
    </x:row>
    <x:row r="27">
      <x:c r="A27" s="7" t="str">
        <x:v>A.1.5-026</x:v>
      </x:c>
      <x:c r="B27" s="7" t="str">
        <x:v>Component 1 - Accessibility</x:v>
      </x:c>
      <x:c r="C27" s="7" t="str">
        <x:v>A.1.5 Accessibility Actions</x:v>
      </x:c>
      <x:c r="D27" s="7" t="n">
        <x:v>26</x:v>
      </x:c>
      <x:c r="E27" s="7" t="str">
        <x:v>Does the website support color blindness?</x:v>
      </x:c>
      <x:c r="F27" s="7" t="str">
        <x:v>Uploaded: gws_checklist_2019-modee-v6.0-en-1.pdf</x:v>
      </x:c>
      <x:c r="G27" s="7" t="str">
        <x:v>Not checked</x:v>
      </x:c>
      <x:c r="H27" s="7" t="str"/>
      <x:c r="I27" s="7" t="str"/>
      <x:c r="J27" s="7" t="str"/>
      <x:c r="K27" s="7" t="str"/>
    </x:row>
    <x:row r="28">
      <x:c r="A28" s="7" t="str">
        <x:v>A.1.5-027</x:v>
      </x:c>
      <x:c r="B28" s="7" t="str">
        <x:v>Component 1 - Accessibility</x:v>
      </x:c>
      <x:c r="C28" s="7" t="str">
        <x:v>A.1.5 Accessibility Actions</x:v>
      </x:c>
      <x:c r="D28" s="7" t="n">
        <x:v>27</x:v>
      </x:c>
      <x:c r="E28" s="7" t="str">
        <x:v>Does the website support night mood?</x:v>
      </x:c>
      <x:c r="F28" s="7" t="str">
        <x:v>Uploaded: gws_checklist_2019-modee-v6.0-en-1.pdf</x:v>
      </x:c>
      <x:c r="G28" s="7" t="str">
        <x:v>Not checked</x:v>
      </x:c>
      <x:c r="H28" s="7" t="str"/>
      <x:c r="I28" s="7" t="str"/>
      <x:c r="J28" s="7" t="str"/>
      <x:c r="K28" s="7" t="str"/>
    </x:row>
    <x:row r="29">
      <x:c r="A29" s="7" t="str">
        <x:v>A.1.5-028</x:v>
      </x:c>
      <x:c r="B29" s="7" t="str">
        <x:v>Component 1 - Accessibility</x:v>
      </x:c>
      <x:c r="C29" s="7" t="str">
        <x:v>A.1.5 Accessibility Actions</x:v>
      </x:c>
      <x:c r="D29" s="7" t="n">
        <x:v>28</x:v>
      </x:c>
      <x:c r="E29" s="7" t="str">
        <x:v>Is the page navigation keyboard-friendly, where the user can access major webpage functionalities using the keyboard?</x:v>
      </x:c>
      <x:c r="F29" s="7" t="str">
        <x:v>Uploaded: gws_checklist_2019-modee-v6.0-en-1.pdf</x:v>
      </x:c>
      <x:c r="G29" s="7" t="str">
        <x:v>Not checked</x:v>
      </x:c>
      <x:c r="H29" s="7" t="str"/>
      <x:c r="I29" s="7" t="str"/>
      <x:c r="J29" s="7" t="str"/>
      <x:c r="K29" s="7" t="str"/>
    </x:row>
    <x:row r="30">
      <x:c r="A30" s="7" t="str">
        <x:v>A.1.5-029</x:v>
      </x:c>
      <x:c r="B30" s="7" t="str">
        <x:v>Component 1 - Accessibility</x:v>
      </x:c>
      <x:c r="C30" s="7" t="str">
        <x:v>A.1.5 Accessibility Actions</x:v>
      </x:c>
      <x:c r="D30" s="7" t="n">
        <x:v>29</x:v>
      </x:c>
      <x:c r="E30" s="7" t="str">
        <x:v>Does the website have a scroll-up button to quickly reach the top of the page?</x:v>
      </x:c>
      <x:c r="F30" s="7" t="str">
        <x:v>Uploaded: gws_checklist_2019-modee-v6.0-en-1.pdf</x:v>
      </x:c>
      <x:c r="G30" s="7" t="str">
        <x:v>Not checked</x:v>
      </x:c>
      <x:c r="H30" s="7" t="str"/>
      <x:c r="I30" s="7" t="str"/>
      <x:c r="J30" s="7" t="str"/>
      <x:c r="K30" s="7" t="str"/>
    </x:row>
    <x:row r="31">
      <x:c r="A31" s="7" t="str">
        <x:v>A.1.6-030</x:v>
      </x:c>
      <x:c r="B31" s="7" t="str">
        <x:v>Component 1 - Accessibility</x:v>
      </x:c>
      <x:c r="C31" s="7" t="str">
        <x:v>A.1.6 Enable Social Media</x:v>
      </x:c>
      <x:c r="D31" s="7" t="n">
        <x:v>30</x:v>
      </x:c>
      <x:c r="E31" s="7" t="str">
        <x:v>Does the website have social media buttons linked to the entity social media pages?</x:v>
      </x:c>
      <x:c r="F31" s="7" t="str">
        <x:v>Uploaded: gws_checklist_2019-modee-v6.0-en-1.pdf</x:v>
      </x:c>
      <x:c r="G31" s="7" t="str">
        <x:v>Not checked</x:v>
      </x:c>
      <x:c r="H31" s="7" t="str"/>
      <x:c r="I31" s="7" t="str"/>
      <x:c r="J31" s="7" t="str"/>
      <x:c r="K31" s="7" t="str"/>
    </x:row>
    <x:row r="32">
      <x:c r="A32" s="7" t="str">
        <x:v>A.1.6-031</x:v>
      </x:c>
      <x:c r="B32" s="7" t="str">
        <x:v>Component 1 - Accessibility</x:v>
      </x:c>
      <x:c r="C32" s="7" t="str">
        <x:v>A.1.6 Enable Social Media</x:v>
      </x:c>
      <x:c r="D32" s="7" t="n">
        <x:v>31</x:v>
      </x:c>
      <x:c r="E32" s="7" t="str">
        <x:v>Are the social media buttons placed at the footer of the website pages?</x:v>
      </x:c>
      <x:c r="F32" s="7" t="str">
        <x:v>Uploaded: gws_checklist_2019-modee-v6.0-en-1.pdf</x:v>
      </x:c>
      <x:c r="G32" s="7" t="str">
        <x:v>Not checked</x:v>
      </x:c>
      <x:c r="H32" s="7" t="str"/>
      <x:c r="I32" s="7" t="str"/>
      <x:c r="J32" s="7" t="str"/>
      <x:c r="K32" s="7" t="str"/>
    </x:row>
    <x:row r="33">
      <x:c r="A33" s="7" t="str">
        <x:v>A.1.6-032</x:v>
      </x:c>
      <x:c r="B33" s="7" t="str">
        <x:v>Component 1 - Accessibility</x:v>
      </x:c>
      <x:c r="C33" s="7" t="str">
        <x:v>A.1.6 Enable Social Media</x:v>
      </x:c>
      <x:c r="D33" s="7" t="n">
        <x:v>32</x:v>
      </x:c>
      <x:c r="E33" s="7" t="str">
        <x:v>Does the “Contact Us “page contain the social media buttons?</x:v>
      </x:c>
      <x:c r="F33" s="7" t="str">
        <x:v>Uploaded: gws_checklist_2019-modee-v6.0-en-1.pdf</x:v>
      </x:c>
      <x:c r="G33" s="7" t="str">
        <x:v>Not checked</x:v>
      </x:c>
      <x:c r="H33" s="7" t="str"/>
      <x:c r="I33" s="7" t="str"/>
      <x:c r="J33" s="7" t="str"/>
      <x:c r="K33" s="7" t="str"/>
    </x:row>
    <x:row r="34">
      <x:c r="A34" s="7" t="str">
        <x:v>A.1.6-033</x:v>
      </x:c>
      <x:c r="B34" s="7" t="str">
        <x:v>Component 1 - Accessibility</x:v>
      </x:c>
      <x:c r="C34" s="7" t="str">
        <x:v>A.1.6 Enable Social Media</x:v>
      </x:c>
      <x:c r="D34" s="7" t="n">
        <x:v>33</x:v>
      </x:c>
      <x:c r="E34" s="7" t="str">
        <x:v>Does clicking on the social media buttons opens a new tab?</x:v>
      </x:c>
      <x:c r="F34" s="7" t="str">
        <x:v>Uploaded: gws_checklist_2019-modee-v6.0-en-1.pdf</x:v>
      </x:c>
      <x:c r="G34" s="7" t="str">
        <x:v>Not checked</x:v>
      </x:c>
      <x:c r="H34" s="7" t="str"/>
      <x:c r="I34" s="7" t="str"/>
      <x:c r="J34" s="7" t="str"/>
      <x:c r="K34" s="7" t="str"/>
    </x:row>
    <x:row r="35">
      <x:c r="A35" s="7" t="str">
        <x:v>A.1.6-034</x:v>
      </x:c>
      <x:c r="B35" s="7" t="str">
        <x:v>Component 1 - Accessibility</x:v>
      </x:c>
      <x:c r="C35" s="7" t="str">
        <x:v>A.1.6 Enable Social Media</x:v>
      </x:c>
      <x:c r="D35" s="7" t="n">
        <x:v>34</x:v>
      </x:c>
      <x:c r="E35" s="7" t="str">
        <x:v>Do webpages contain social media sharing buttons?</x:v>
      </x:c>
      <x:c r="F35" s="7" t="str">
        <x:v>Uploaded: gws_checklist_2019-modee-v6.0-en-1.pdf</x:v>
      </x:c>
      <x:c r="G35" s="7" t="str">
        <x:v>Not checked</x:v>
      </x:c>
      <x:c r="H35" s="7" t="str"/>
      <x:c r="I35" s="7" t="str"/>
      <x:c r="J35" s="7" t="str"/>
      <x:c r="K35" s="7" t="str"/>
    </x:row>
    <x:row r="36">
      <x:c r="A36" s="7" t="str">
        <x:v>A.1.6-035</x:v>
      </x:c>
      <x:c r="B36" s="7" t="str">
        <x:v>Component 1 - Accessibility</x:v>
      </x:c>
      <x:c r="C36" s="7" t="str">
        <x:v>A.1.6 Enable Social Media</x:v>
      </x:c>
      <x:c r="D36" s="7" t="n">
        <x:v>35</x:v>
      </x:c>
      <x:c r="E36" s="7" t="str">
        <x:v>Are the social media sharing buttons displayed in the top of each webpage, where in Arabic it should be shown on the left side of the page and in English on the right side of the page?</x:v>
      </x:c>
      <x:c r="F36" s="7" t="str">
        <x:v>Uploaded: gws_checklist_2019-modee-v6.0-en-1.pdf</x:v>
      </x:c>
      <x:c r="G36" s="7" t="str">
        <x:v>Not checked</x:v>
      </x:c>
      <x:c r="H36" s="7" t="str"/>
      <x:c r="I36" s="7" t="str"/>
      <x:c r="J36" s="7" t="str"/>
      <x:c r="K36" s="7" t="str"/>
    </x:row>
    <x:row r="37">
      <x:c r="A37" s="7" t="str">
        <x:v>A.1.6-036</x:v>
      </x:c>
      <x:c r="B37" s="7" t="str">
        <x:v>Component 1 - Accessibility</x:v>
      </x:c>
      <x:c r="C37" s="7" t="str">
        <x:v>A.1.6 Enable Social Media</x:v>
      </x:c>
      <x:c r="D37" s="7" t="n">
        <x:v>36</x:v>
      </x:c>
      <x:c r="E37" s="7" t="str">
        <x:v>Is the label “Share “, "‫ "شارك‬placed next to the sharing buttons?</x:v>
      </x:c>
      <x:c r="F37" s="7" t="str">
        <x:v>Uploaded: gws_checklist_2019-modee-v6.0-en-1.pdf</x:v>
      </x:c>
      <x:c r="G37" s="7" t="str">
        <x:v>Not checked</x:v>
      </x:c>
      <x:c r="H37" s="7" t="str"/>
      <x:c r="I37" s="7" t="str"/>
      <x:c r="J37" s="7" t="str"/>
      <x:c r="K37" s="7" t="str"/>
    </x:row>
    <x:row r="38">
      <x:c r="A38" s="7" t="str">
        <x:v>A.1.7-037</x:v>
      </x:c>
      <x:c r="B38" s="7" t="str">
        <x:v>Component 1 - Accessibility</x:v>
      </x:c>
      <x:c r="C38" s="7" t="str">
        <x:v>A.1.7 RSS Feeds Subscription</x:v>
      </x:c>
      <x:c r="D38" s="7" t="n">
        <x:v>37</x:v>
      </x:c>
      <x:c r="E38" s="7" t="str">
        <x:v>Is RSS Feeds Subscription supported?</x:v>
      </x:c>
      <x:c r="F38" s="7" t="str">
        <x:v>Uploaded: gws_checklist_2019-modee-v6.0-en-1.pdf</x:v>
      </x:c>
      <x:c r="G38" s="7" t="str">
        <x:v>Not checked</x:v>
      </x:c>
      <x:c r="H38" s="7" t="str"/>
      <x:c r="I38" s="7" t="str"/>
      <x:c r="J38" s="7" t="str"/>
      <x:c r="K38" s="7" t="str"/>
    </x:row>
    <x:row r="39">
      <x:c r="A39" s="7" t="str">
        <x:v>A.1.7-038</x:v>
      </x:c>
      <x:c r="B39" s="7" t="str">
        <x:v>Component 1 - Accessibility</x:v>
      </x:c>
      <x:c r="C39" s="7" t="str">
        <x:v>A.1.7 RSS Feeds Subscription</x:v>
      </x:c>
      <x:c r="D39" s="7" t="n">
        <x:v>38</x:v>
      </x:c>
      <x:c r="E39" s="7" t="str">
        <x:v>Is RSS icon visible, consistent, and clickable?</x:v>
      </x:c>
      <x:c r="F39" s="7" t="str">
        <x:v>Uploaded: gws_checklist_2019-modee-v6.0-en-1.pdf</x:v>
      </x:c>
      <x:c r="G39" s="7" t="str">
        <x:v>Not checked</x:v>
      </x:c>
      <x:c r="H39" s="7" t="str"/>
      <x:c r="I39" s="7" t="str"/>
      <x:c r="J39" s="7" t="str"/>
      <x:c r="K39" s="7" t="str"/>
    </x:row>
    <x:row r="40">
      <x:c r="A40" s="7" t="str">
        <x:v>A.1.7-039</x:v>
      </x:c>
      <x:c r="B40" s="7" t="str">
        <x:v>Component 1 - Accessibility</x:v>
      </x:c>
      <x:c r="C40" s="7" t="str">
        <x:v>A.1.7 RSS Feeds Subscription</x:v>
      </x:c>
      <x:c r="D40" s="7" t="n">
        <x:v>39</x:v>
      </x:c>
      <x:c r="E40" s="7" t="str">
        <x:v>Is the news covered in the RSS?</x:v>
      </x:c>
      <x:c r="F40" s="7" t="str">
        <x:v>Uploaded: gws_checklist_2019-modee-v6.0-en-1.pdf</x:v>
      </x:c>
      <x:c r="G40" s="7" t="str">
        <x:v>Not checked</x:v>
      </x:c>
      <x:c r="H40" s="7" t="str"/>
      <x:c r="I40" s="7" t="str"/>
      <x:c r="J40" s="7" t="str"/>
      <x:c r="K40" s="7" t="str"/>
    </x:row>
    <x:row r="41">
      <x:c r="A41" s="7" t="str">
        <x:v>A.1.8-040</x:v>
      </x:c>
      <x:c r="B41" s="7" t="str">
        <x:v>Component 1 - Accessibility</x:v>
      </x:c>
      <x:c r="C41" s="7" t="str">
        <x:v>A.1.8 Web Performance</x:v>
      </x:c>
      <x:c r="D41" s="7" t="n">
        <x:v>40</x:v>
      </x:c>
      <x:c r="E41" s="7" t="str">
        <x:v>Is webpages load time equal or less than 9 seconds?</x:v>
      </x:c>
      <x:c r="F41" s="7" t="str">
        <x:v>Uploaded: gws_checklist_2019-modee-v6.0-en-1.pdf</x:v>
      </x:c>
      <x:c r="G41" s="7" t="str">
        <x:v>Not checked</x:v>
      </x:c>
      <x:c r="H41" s="7" t="str"/>
      <x:c r="I41" s="7" t="str"/>
      <x:c r="J41" s="7" t="str"/>
      <x:c r="K41" s="7" t="str"/>
    </x:row>
    <x:row r="42">
      <x:c r="A42" s="7" t="str">
        <x:v>A.1.8-041</x:v>
      </x:c>
      <x:c r="B42" s="7" t="str">
        <x:v>Component 1 - Accessibility</x:v>
      </x:c>
      <x:c r="C42" s="7" t="str">
        <x:v>A.1.8 Web Performance</x:v>
      </x:c>
      <x:c r="D42" s="7" t="n">
        <x:v>41</x:v>
      </x:c>
      <x:c r="E42" s="7" t="str">
        <x:v>Is webpages’ size equal or less than 5 MB?</x:v>
      </x:c>
      <x:c r="F42" s="7" t="str">
        <x:v>Uploaded: gws_checklist_2019-modee-v6.0-en-1.pdf</x:v>
      </x:c>
      <x:c r="G42" s="7" t="str">
        <x:v>Not checked</x:v>
      </x:c>
      <x:c r="H42" s="7" t="str"/>
      <x:c r="I42" s="7" t="str"/>
      <x:c r="J42" s="7" t="str"/>
      <x:c r="K42" s="7" t="str"/>
    </x:row>
    <x:row r="43">
      <x:c r="A43" s="7" t="str">
        <x:v>A.1.8-042</x:v>
      </x:c>
      <x:c r="B43" s="7" t="str">
        <x:v>Component 1 - Accessibility</x:v>
      </x:c>
      <x:c r="C43" s="7" t="str">
        <x:v>A.1.8 Web Performance</x:v>
      </x:c>
      <x:c r="D43" s="7" t="n">
        <x:v>42</x:v>
      </x:c>
      <x:c r="E43" s="7" t="str">
        <x:v>Are HTTP requests at their minimum, with no unnecessary redirects or broken links?</x:v>
      </x:c>
      <x:c r="F43" s="7" t="str">
        <x:v>Uploaded: gws_checklist_2019-modee-v6.0-en-1.pdf</x:v>
      </x:c>
      <x:c r="G43" s="7" t="str">
        <x:v>Not checked</x:v>
      </x:c>
      <x:c r="H43" s="7" t="str"/>
      <x:c r="I43" s="7" t="str"/>
      <x:c r="J43" s="7" t="str"/>
      <x:c r="K43" s="7" t="str"/>
    </x:row>
    <x:row r="44">
      <x:c r="A44" s="7" t="str">
        <x:v>A.1.8-043</x:v>
      </x:c>
      <x:c r="B44" s="7" t="str">
        <x:v>Component 1 - Accessibility</x:v>
      </x:c>
      <x:c r="C44" s="7" t="str">
        <x:v>A.1.8 Web Performance</x:v>
      </x:c>
      <x:c r="D44" s="7" t="n">
        <x:v>43</x:v>
      </x:c>
      <x:c r="E44" s="7" t="str">
        <x:v>Is the time to First Byte (TTFB) equal or less than 800ms?</x:v>
      </x:c>
      <x:c r="F44" s="7" t="str">
        <x:v>Uploaded: gws_checklist_2019-modee-v6.0-en-1.pdf</x:v>
      </x:c>
      <x:c r="G44" s="7" t="str">
        <x:v>Not checked</x:v>
      </x:c>
      <x:c r="H44" s="7" t="str"/>
      <x:c r="I44" s="7" t="str"/>
      <x:c r="J44" s="7" t="str"/>
      <x:c r="K44" s="7" t="str"/>
    </x:row>
    <x:row r="45">
      <x:c r="A45" s="7" t="str">
        <x:v>A.1.8-044</x:v>
      </x:c>
      <x:c r="B45" s="7" t="str">
        <x:v>Component 1 - Accessibility</x:v>
      </x:c>
      <x:c r="C45" s="7" t="str">
        <x:v>A.1.8 Web Performance</x:v>
      </x:c>
      <x:c r="D45" s="7" t="n">
        <x:v>44</x:v>
      </x:c>
      <x:c r="E45" s="7" t="str">
        <x:v>Is the size of large images equal or less than 150KB?</x:v>
      </x:c>
      <x:c r="F45" s="7" t="str">
        <x:v>Uploaded: gws_checklist_2019-modee-v6.0-en-1.pdf</x:v>
      </x:c>
      <x:c r="G45" s="7" t="str">
        <x:v>Not checked</x:v>
      </x:c>
      <x:c r="H45" s="7" t="str"/>
      <x:c r="I45" s="7" t="str"/>
      <x:c r="J45" s="7" t="str"/>
      <x:c r="K45" s="7" t="str"/>
    </x:row>
    <x:row r="46">
      <x:c r="A46" s="7" t="str">
        <x:v>A.1.8-045</x:v>
      </x:c>
      <x:c r="B46" s="7" t="str">
        <x:v>Component 1 - Accessibility</x:v>
      </x:c>
      <x:c r="C46" s="7" t="str">
        <x:v>A.1.8 Web Performance</x:v>
      </x:c>
      <x:c r="D46" s="7" t="n">
        <x:v>45</x:v>
      </x:c>
      <x:c r="E46" s="7" t="str">
        <x:v>Is the size of small images equal or less than 40K?</x:v>
      </x:c>
      <x:c r="F46" s="7" t="str">
        <x:v>Uploaded: gws_checklist_2019-modee-v6.0-en-1.pdf</x:v>
      </x:c>
      <x:c r="G46" s="7" t="str">
        <x:v>Not checked</x:v>
      </x:c>
      <x:c r="H46" s="7" t="str"/>
      <x:c r="I46" s="7" t="str"/>
      <x:c r="J46" s="7" t="str"/>
      <x:c r="K46" s="7" t="str"/>
    </x:row>
    <x:row r="47">
      <x:c r="A47" s="7" t="str">
        <x:v>U.2.1-001</x:v>
      </x:c>
      <x:c r="B47" s="7" t="str">
        <x:v>Component 2 - Usability and Design</x:v>
      </x:c>
      <x:c r="C47" s="7" t="str">
        <x:v>U.2.1 Site Navigation and Effective Sitemap</x:v>
      </x:c>
      <x:c r="D47" s="7" t="n">
        <x:v>1</x:v>
      </x:c>
      <x:c r="E47" s="7" t="str">
        <x:v>Is the navigation structure from the users’ point-of-view simple and predictable?</x:v>
      </x:c>
      <x:c r="F47" s="7" t="str">
        <x:v>Uploaded: gws_checklist_2019-modee-v6.0-en-1.pdf</x:v>
      </x:c>
      <x:c r="G47" s="7" t="str">
        <x:v>Not checked</x:v>
      </x:c>
      <x:c r="H47" s="7" t="str"/>
      <x:c r="I47" s="7" t="str"/>
      <x:c r="J47" s="7" t="str"/>
      <x:c r="K47" s="7" t="str"/>
    </x:row>
    <x:row r="48">
      <x:c r="A48" s="7" t="str">
        <x:v>U.2.1-002</x:v>
      </x:c>
      <x:c r="B48" s="7" t="str">
        <x:v>Component 2 - Usability and Design</x:v>
      </x:c>
      <x:c r="C48" s="7" t="str">
        <x:v>U.2.1 Site Navigation and Effective Sitemap</x:v>
      </x:c>
      <x:c r="D48" s="7" t="n">
        <x:v>2</x:v>
      </x:c>
      <x:c r="E48" s="7" t="str">
        <x:v>Does the navigation structure comply with the “Three Clicks Principle”?</x:v>
      </x:c>
      <x:c r="F48" s="7" t="str">
        <x:v>Uploaded: gws_checklist_2019-modee-v6.0-en-1.pdf</x:v>
      </x:c>
      <x:c r="G48" s="7" t="str">
        <x:v>Not checked</x:v>
      </x:c>
      <x:c r="H48" s="7" t="str"/>
      <x:c r="I48" s="7" t="str"/>
      <x:c r="J48" s="7" t="str"/>
      <x:c r="K48" s="7" t="str"/>
    </x:row>
    <x:row r="49">
      <x:c r="A49" s="7" t="str">
        <x:v>U.2.1-003</x:v>
      </x:c>
      <x:c r="B49" s="7" t="str">
        <x:v>Component 2 - Usability and Design</x:v>
      </x:c>
      <x:c r="C49" s="7" t="str">
        <x:v>U.2.1 Site Navigation and Effective Sitemap</x:v>
      </x:c>
      <x:c r="D49" s="7" t="n">
        <x:v>3</x:v>
      </x:c>
      <x:c r="E49" s="7" t="str">
        <x:v>Are the navigation menus located in a consistent location across all website pages?</x:v>
      </x:c>
      <x:c r="F49" s="7" t="str">
        <x:v>Uploaded: gws_checklist_2019-modee-v6.0-en-1.pdf</x:v>
      </x:c>
      <x:c r="G49" s="7" t="str">
        <x:v>Not checked</x:v>
      </x:c>
      <x:c r="H49" s="7" t="str"/>
      <x:c r="I49" s="7" t="str"/>
      <x:c r="J49" s="7" t="str"/>
      <x:c r="K49" s="7" t="str"/>
    </x:row>
    <x:row r="50">
      <x:c r="A50" s="7" t="str">
        <x:v>U.2.1-004</x:v>
      </x:c>
      <x:c r="B50" s="7" t="str">
        <x:v>Component 2 - Usability and Design</x:v>
      </x:c>
      <x:c r="C50" s="7" t="str">
        <x:v>U.2.1 Site Navigation and Effective Sitemap</x:v>
      </x:c>
      <x:c r="D50" s="7" t="n">
        <x:v>4</x:v>
      </x:c>
      <x:c r="E50" s="7" t="str">
        <x:v>Do navigation menus contain links to all website pages?</x:v>
      </x:c>
      <x:c r="F50" s="7" t="str">
        <x:v>Uploaded: gws_checklist_2019-modee-v6.0-en-1.pdf</x:v>
      </x:c>
      <x:c r="G50" s="7" t="str">
        <x:v>Not checked</x:v>
      </x:c>
      <x:c r="H50" s="7" t="str"/>
      <x:c r="I50" s="7" t="str"/>
      <x:c r="J50" s="7" t="str"/>
      <x:c r="K50" s="7" t="str"/>
    </x:row>
    <x:row r="51">
      <x:c r="A51" s="7" t="str">
        <x:v>U.2.1-005</x:v>
      </x:c>
      <x:c r="B51" s="7" t="str">
        <x:v>Component 2 - Usability and Design</x:v>
      </x:c>
      <x:c r="C51" s="7" t="str">
        <x:v>U.2.1 Site Navigation and Effective Sitemap</x:v>
      </x:c>
      <x:c r="D51" s="7" t="n">
        <x:v>5</x:v>
      </x:c>
      <x:c r="E51" s="7" t="str">
        <x:v>Does navigation menus support transitional effects such as hover or mouseover effect?</x:v>
      </x:c>
      <x:c r="F51" s="7" t="str">
        <x:v>Uploaded: gws_checklist_2019-modee-v6.0-en-1.pdf</x:v>
      </x:c>
      <x:c r="G51" s="7" t="str">
        <x:v>Not checked</x:v>
      </x:c>
      <x:c r="H51" s="7" t="str"/>
      <x:c r="I51" s="7" t="str"/>
      <x:c r="J51" s="7" t="str"/>
      <x:c r="K51" s="7" t="str"/>
    </x:row>
    <x:row r="52">
      <x:c r="A52" s="7" t="str">
        <x:v>U.2.1-006</x:v>
      </x:c>
      <x:c r="B52" s="7" t="str">
        <x:v>Component 2 - Usability and Design</x:v>
      </x:c>
      <x:c r="C52" s="7" t="str">
        <x:v>U.2.1 Site Navigation and Effective Sitemap</x:v>
      </x:c>
      <x:c r="D52" s="7" t="n">
        <x:v>6</x:v>
      </x:c>
      <x:c r="E52" s="7" t="str">
        <x:v>Are navigation menus flash free?</x:v>
      </x:c>
      <x:c r="F52" s="7" t="str">
        <x:v>Uploaded: gws_checklist_2019-modee-v6.0-en-1.pdf</x:v>
      </x:c>
      <x:c r="G52" s="7" t="str">
        <x:v>Not checked</x:v>
      </x:c>
      <x:c r="H52" s="7" t="str"/>
      <x:c r="I52" s="7" t="str"/>
      <x:c r="J52" s="7" t="str"/>
      <x:c r="K52" s="7" t="str"/>
    </x:row>
    <x:row r="53">
      <x:c r="A53" s="7" t="str">
        <x:v>U.2.1-007</x:v>
      </x:c>
      <x:c r="B53" s="7" t="str">
        <x:v>Component 2 - Usability and Design</x:v>
      </x:c>
      <x:c r="C53" s="7" t="str">
        <x:v>U.2.1 Site Navigation and Effective Sitemap</x:v>
      </x:c>
      <x:c r="D53" s="7" t="n">
        <x:v>7</x:v>
      </x:c>
      <x:c r="E53" s="7" t="str">
        <x:v>Is the website’s main menu displayed horizontally?</x:v>
      </x:c>
      <x:c r="F53" s="7" t="str">
        <x:v>Uploaded: gws_checklist_2019-modee-v6.0-en-1.pdf</x:v>
      </x:c>
      <x:c r="G53" s="7" t="str">
        <x:v>Not checked</x:v>
      </x:c>
      <x:c r="H53" s="7" t="str"/>
      <x:c r="I53" s="7" t="str"/>
      <x:c r="J53" s="7" t="str"/>
      <x:c r="K53" s="7" t="str"/>
    </x:row>
    <x:row r="54">
      <x:c r="A54" s="7" t="str">
        <x:v>U.2.1-008</x:v>
      </x:c>
      <x:c r="B54" s="7" t="str">
        <x:v>Component 2 - Usability and Design</x:v>
      </x:c>
      <x:c r="C54" s="7" t="str">
        <x:v>U.2.1 Site Navigation and Effective Sitemap</x:v>
      </x:c>
      <x:c r="D54" s="7" t="n">
        <x:v>8</x:v>
      </x:c>
      <x:c r="E54" s="7" t="str">
        <x:v>Are there no external links in the main navigation menu?</x:v>
      </x:c>
      <x:c r="F54" s="7" t="str">
        <x:v>Uploaded: gws_checklist_2019-modee-v6.0-en-1.pdf</x:v>
      </x:c>
      <x:c r="G54" s="7" t="str">
        <x:v>Not checked</x:v>
      </x:c>
      <x:c r="H54" s="7" t="str"/>
      <x:c r="I54" s="7" t="str"/>
      <x:c r="J54" s="7" t="str"/>
      <x:c r="K54" s="7" t="str"/>
    </x:row>
    <x:row r="55">
      <x:c r="A55" s="7" t="str">
        <x:v>U.2.1-009</x:v>
      </x:c>
      <x:c r="B55" s="7" t="str">
        <x:v>Component 2 - Usability and Design</x:v>
      </x:c>
      <x:c r="C55" s="7" t="str">
        <x:v>U.2.1 Site Navigation and Effective Sitemap</x:v>
      </x:c>
      <x:c r="D55" s="7" t="n">
        <x:v>9</x:v>
      </x:c>
      <x:c r="E55" s="7" t="str">
        <x:v>Are main menu items equal or less than nine items?</x:v>
      </x:c>
      <x:c r="F55" s="7" t="str">
        <x:v>Uploaded: gws_checklist_2019-modee-v6.0-en-1.pdf</x:v>
      </x:c>
      <x:c r="G55" s="7" t="str">
        <x:v>Not checked</x:v>
      </x:c>
      <x:c r="H55" s="7" t="str"/>
      <x:c r="I55" s="7" t="str"/>
      <x:c r="J55" s="7" t="str"/>
      <x:c r="K55" s="7" t="str"/>
    </x:row>
    <x:row r="56">
      <x:c r="A56" s="7" t="str">
        <x:v>U.2.1-010</x:v>
      </x:c>
      <x:c r="B56" s="7" t="str">
        <x:v>Component 2 - Usability and Design</x:v>
      </x:c>
      <x:c r="C56" s="7" t="str">
        <x:v>U.2.1 Site Navigation and Effective Sitemap</x:v>
      </x:c>
      <x:c r="D56" s="7" t="n">
        <x:v>10</x:v>
      </x:c>
      <x:c r="E56" s="7" t="str">
        <x:v>Does the main menu follow the serial position effect, where the most important items are placed at the beginning and the ending of the menu?</x:v>
      </x:c>
      <x:c r="F56" s="7" t="str">
        <x:v>Uploaded: gws_checklist_2019-modee-v6.0-en-1.pdf</x:v>
      </x:c>
      <x:c r="G56" s="7" t="str">
        <x:v>Not checked</x:v>
      </x:c>
      <x:c r="H56" s="7" t="str"/>
      <x:c r="I56" s="7" t="str"/>
      <x:c r="J56" s="7" t="str"/>
      <x:c r="K56" s="7" t="str"/>
    </x:row>
    <x:row r="57">
      <x:c r="A57" s="7" t="str">
        <x:v>U.2.1-011</x:v>
      </x:c>
      <x:c r="B57" s="7" t="str">
        <x:v>Component 2 - Usability and Design</x:v>
      </x:c>
      <x:c r="C57" s="7" t="str">
        <x:v>U.2.1 Site Navigation and Effective Sitemap</x:v>
      </x:c>
      <x:c r="D57" s="7" t="n">
        <x:v>11</x:v>
      </x:c>
      <x:c r="E57" s="7" t="str">
        <x:v>Is “About us” the first item in the main menu?</x:v>
      </x:c>
      <x:c r="F57" s="7" t="str">
        <x:v>Uploaded: gws_checklist_2019-modee-v6.0-en-1.pdf</x:v>
      </x:c>
      <x:c r="G57" s="7" t="str">
        <x:v>Not checked</x:v>
      </x:c>
      <x:c r="H57" s="7" t="str"/>
      <x:c r="I57" s="7" t="str"/>
      <x:c r="J57" s="7" t="str"/>
      <x:c r="K57" s="7" t="str"/>
    </x:row>
    <x:row r="58">
      <x:c r="A58" s="7" t="str">
        <x:v>U.2.1-012</x:v>
      </x:c>
      <x:c r="B58" s="7" t="str">
        <x:v>Component 2 - Usability and Design</x:v>
      </x:c>
      <x:c r="C58" s="7" t="str">
        <x:v>U.2.1 Site Navigation and Effective Sitemap</x:v>
      </x:c>
      <x:c r="D58" s="7" t="n">
        <x:v>12</x:v>
      </x:c>
      <x:c r="E58" s="7" t="str">
        <x:v>Is “Contact us” the last item in the main menu?</x:v>
      </x:c>
      <x:c r="F58" s="7" t="str">
        <x:v>Uploaded: gws_checklist_2019-modee-v6.0-en-1.pdf</x:v>
      </x:c>
      <x:c r="G58" s="7" t="str">
        <x:v>Not checked</x:v>
      </x:c>
      <x:c r="H58" s="7" t="str"/>
      <x:c r="I58" s="7" t="str"/>
      <x:c r="J58" s="7" t="str"/>
      <x:c r="K58" s="7" t="str"/>
    </x:row>
    <x:row r="59">
      <x:c r="A59" s="7" t="str">
        <x:v>U.2.1-013</x:v>
      </x:c>
      <x:c r="B59" s="7" t="str">
        <x:v>Component 2 - Usability and Design</x:v>
      </x:c>
      <x:c r="C59" s="7" t="str">
        <x:v>U.2.1 Site Navigation and Effective Sitemap</x:v>
      </x:c>
      <x:c r="D59" s="7" t="n">
        <x:v>13</x:v>
      </x:c>
      <x:c r="E59" s="7" t="str">
        <x:v>Are the main menu labels short and familiar?</x:v>
      </x:c>
      <x:c r="F59" s="7" t="str">
        <x:v>Uploaded: gws_checklist_2019-modee-v6.0-en-1.pdf</x:v>
      </x:c>
      <x:c r="G59" s="7" t="str">
        <x:v>Not checked</x:v>
      </x:c>
      <x:c r="H59" s="7" t="str"/>
      <x:c r="I59" s="7" t="str"/>
      <x:c r="J59" s="7" t="str"/>
      <x:c r="K59" s="7" t="str"/>
    </x:row>
    <x:row r="60">
      <x:c r="A60" s="7" t="str">
        <x:v>U.2.1-014</x:v>
      </x:c>
      <x:c r="B60" s="7" t="str">
        <x:v>Component 2 - Usability and Design</x:v>
      </x:c>
      <x:c r="C60" s="7" t="str">
        <x:v>U.2.1 Site Navigation and Effective Sitemap</x:v>
      </x:c>
      <x:c r="D60" s="7" t="n">
        <x:v>14</x:v>
      </x:c>
      <x:c r="E60" s="7" t="str">
        <x:v>In the English site, are all menu items labels capitalized? For example: “About Us” not “about us”.</x:v>
      </x:c>
      <x:c r="F60" s="7" t="str">
        <x:v>Uploaded: gws_checklist_2019-modee-v6.0-en-1.pdf</x:v>
      </x:c>
      <x:c r="G60" s="7" t="str">
        <x:v>Not checked</x:v>
      </x:c>
      <x:c r="H60" s="7" t="str"/>
      <x:c r="I60" s="7" t="str"/>
      <x:c r="J60" s="7" t="str"/>
      <x:c r="K60" s="7" t="str"/>
    </x:row>
    <x:row r="61">
      <x:c r="A61" s="7" t="str">
        <x:v>U.2.1-015</x:v>
      </x:c>
      <x:c r="B61" s="7" t="str">
        <x:v>Component 2 - Usability and Design</x:v>
      </x:c>
      <x:c r="C61" s="7" t="str">
        <x:v>U.2.1 Site Navigation and Effective Sitemap</x:v>
      </x:c>
      <x:c r="D61" s="7" t="n">
        <x:v>15</x:v>
      </x:c>
      <x:c r="E61" s="7" t="str">
        <x:v>Are main menu labels easily recognized?</x:v>
      </x:c>
      <x:c r="F61" s="7" t="str">
        <x:v>Uploaded: gws_checklist_2019-modee-v6.0-en-1.pdf</x:v>
      </x:c>
      <x:c r="G61" s="7" t="str">
        <x:v>Not checked</x:v>
      </x:c>
      <x:c r="H61" s="7" t="str"/>
      <x:c r="I61" s="7" t="str"/>
      <x:c r="J61" s="7" t="str"/>
      <x:c r="K61" s="7" t="str"/>
    </x:row>
    <x:row r="62">
      <x:c r="A62" s="7" t="str">
        <x:v>U.2.1-016</x:v>
      </x:c>
      <x:c r="B62" s="7" t="str">
        <x:v>Component 2 - Usability and Design</x:v>
      </x:c>
      <x:c r="C62" s="7" t="str">
        <x:v>U.2.1 Site Navigation and Effective Sitemap</x:v>
      </x:c>
      <x:c r="D62" s="7" t="n">
        <x:v>16</x:v>
      </x:c>
      <x:c r="E62" s="7" t="str">
        <x:v>Do menu items expand on click, with no expansion on mouse hover?</x:v>
      </x:c>
      <x:c r="F62" s="7" t="str">
        <x:v>Uploaded: gws_checklist_2019-modee-v6.0-en-1.pdf</x:v>
      </x:c>
      <x:c r="G62" s="7" t="str">
        <x:v>Not checked</x:v>
      </x:c>
      <x:c r="H62" s="7" t="str"/>
      <x:c r="I62" s="7" t="str"/>
      <x:c r="J62" s="7" t="str"/>
      <x:c r="K62" s="7" t="str"/>
    </x:row>
    <x:row r="63">
      <x:c r="A63" s="7" t="str">
        <x:v>U.2.1-017</x:v>
      </x:c>
      <x:c r="B63" s="7" t="str">
        <x:v>Component 2 - Usability and Design</x:v>
      </x:c>
      <x:c r="C63" s="7" t="str">
        <x:v>U.2.1 Site Navigation and Effective Sitemap</x:v>
      </x:c>
      <x:c r="D63" s="7" t="n">
        <x:v>17</x:v>
      </x:c>
      <x:c r="E63" s="7" t="str">
        <x:v>Does the secondary menu contain a maximum of seven items?</x:v>
      </x:c>
      <x:c r="F63" s="7" t="str">
        <x:v>Uploaded: gws_checklist_2019-modee-v6.0-en-1.pdf</x:v>
      </x:c>
      <x:c r="G63" s="7" t="str">
        <x:v>Not checked</x:v>
      </x:c>
      <x:c r="H63" s="7" t="str"/>
      <x:c r="I63" s="7" t="str"/>
      <x:c r="J63" s="7" t="str"/>
      <x:c r="K63" s="7" t="str"/>
    </x:row>
    <x:row r="64">
      <x:c r="A64" s="7" t="str">
        <x:v>U.2.1-018</x:v>
      </x:c>
      <x:c r="B64" s="7" t="str">
        <x:v>Component 2 - Usability and Design</x:v>
      </x:c>
      <x:c r="C64" s="7" t="str">
        <x:v>U.2.1 Site Navigation and Effective Sitemap</x:v>
      </x:c>
      <x:c r="D64" s="7" t="n">
        <x:v>18</x:v>
      </x:c>
      <x:c r="E64" s="7" t="str">
        <x:v>In the English site, are all menu items labels capitalized? For example: “Home” not “home”.</x:v>
      </x:c>
      <x:c r="F64" s="7" t="str">
        <x:v>Uploaded: gws_checklist_2019-modee-v6.0-en-1.pdf</x:v>
      </x:c>
      <x:c r="G64" s="7" t="str">
        <x:v>Not checked</x:v>
      </x:c>
      <x:c r="H64" s="7" t="str"/>
      <x:c r="I64" s="7" t="str"/>
      <x:c r="J64" s="7" t="str"/>
      <x:c r="K64" s="7" t="str"/>
    </x:row>
    <x:row r="65">
      <x:c r="A65" s="7" t="str">
        <x:v>U.2.1-019</x:v>
      </x:c>
      <x:c r="B65" s="7" t="str">
        <x:v>Component 2 - Usability and Design</x:v>
      </x:c>
      <x:c r="C65" s="7" t="str">
        <x:v>U.2.1 Site Navigation and Effective Sitemap</x:v>
      </x:c>
      <x:c r="D65" s="7" t="n">
        <x:v>19</x:v>
      </x:c>
      <x:c r="E65" s="7" t="str">
        <x:v>Are secondary menu labels short and familiar?</x:v>
      </x:c>
      <x:c r="F65" s="7" t="str">
        <x:v>Uploaded: gws_checklist_2019-modee-v6.0-en-1.pdf</x:v>
      </x:c>
      <x:c r="G65" s="7" t="str">
        <x:v>Not checked</x:v>
      </x:c>
      <x:c r="H65" s="7" t="str"/>
      <x:c r="I65" s="7" t="str"/>
      <x:c r="J65" s="7" t="str"/>
      <x:c r="K65" s="7" t="str"/>
    </x:row>
    <x:row r="66">
      <x:c r="A66" s="7" t="str">
        <x:v>U.2.1-020</x:v>
      </x:c>
      <x:c r="B66" s="7" t="str">
        <x:v>Component 2 - Usability and Design</x:v>
      </x:c>
      <x:c r="C66" s="7" t="str">
        <x:v>U.2.1 Site Navigation and Effective Sitemap</x:v>
      </x:c>
      <x:c r="D66" s="7" t="n">
        <x:v>20</x:v>
      </x:c>
      <x:c r="E66" s="7" t="str">
        <x:v>Does the secondary menu contain Home, FAQ, and Sitemap at minimum?</x:v>
      </x:c>
      <x:c r="F66" s="7" t="str">
        <x:v>Uploaded: gws_checklist_2019-modee-v6.0-en-1.pdf</x:v>
      </x:c>
      <x:c r="G66" s="7" t="str">
        <x:v>Not checked</x:v>
      </x:c>
      <x:c r="H66" s="7" t="str"/>
      <x:c r="I66" s="7" t="str"/>
      <x:c r="J66" s="7" t="str"/>
      <x:c r="K66" s="7" t="str"/>
    </x:row>
    <x:row r="67">
      <x:c r="A67" s="7" t="str">
        <x:v>U.2.1-021</x:v>
      </x:c>
      <x:c r="B67" s="7" t="str">
        <x:v>Component 2 - Usability and Design</x:v>
      </x:c>
      <x:c r="C67" s="7" t="str">
        <x:v>U.2.1 Site Navigation and Effective Sitemap</x:v>
      </x:c>
      <x:c r="D67" s="7" t="n">
        <x:v>21</x:v>
      </x:c>
      <x:c r="E67" s="7" t="str">
        <x:v>Is the page side menu displayed vertically?</x:v>
      </x:c>
      <x:c r="F67" s="7" t="str">
        <x:v>Uploaded: gws_checklist_2019-modee-v6.0-en-1.pdf</x:v>
      </x:c>
      <x:c r="G67" s="7" t="str">
        <x:v>Not checked</x:v>
      </x:c>
      <x:c r="H67" s="7" t="str"/>
      <x:c r="I67" s="7" t="str"/>
      <x:c r="J67" s="7" t="str"/>
      <x:c r="K67" s="7" t="str"/>
    </x:row>
    <x:row r="68">
      <x:c r="A68" s="7" t="str">
        <x:v>U.2.1-022</x:v>
      </x:c>
      <x:c r="B68" s="7" t="str">
        <x:v>Component 2 - Usability and Design</x:v>
      </x:c>
      <x:c r="C68" s="7" t="str">
        <x:v>U.2.1 Site Navigation and Effective Sitemap</x:v>
      </x:c>
      <x:c r="D68" s="7" t="n">
        <x:v>22</x:v>
      </x:c>
      <x:c r="E68" s="7" t="str">
        <x:v>Does the page side menu location depend on the site’s language; Left in Arabic pages and Right in English pages?</x:v>
      </x:c>
      <x:c r="F68" s="7" t="str">
        <x:v>Uploaded: gws_checklist_2019-modee-v6.0-en-1.pdf</x:v>
      </x:c>
      <x:c r="G68" s="7" t="str">
        <x:v>Not checked</x:v>
      </x:c>
      <x:c r="H68" s="7" t="str"/>
      <x:c r="I68" s="7" t="str"/>
      <x:c r="J68" s="7" t="str"/>
      <x:c r="K68" s="7" t="str"/>
    </x:row>
    <x:row r="69">
      <x:c r="A69" s="7" t="str">
        <x:v>U.2.1-023</x:v>
      </x:c>
      <x:c r="B69" s="7" t="str">
        <x:v>Component 2 - Usability and Design</x:v>
      </x:c>
      <x:c r="C69" s="7" t="str">
        <x:v>U.2.1 Site Navigation and Effective Sitemap</x:v>
      </x:c>
      <x:c r="D69" s="7" t="n">
        <x:v>23</x:v>
      </x:c>
      <x:c r="E69" s="7" t="str">
        <x:v>Do webpages contain breadcrumb?</x:v>
      </x:c>
      <x:c r="F69" s="7" t="str">
        <x:v>Uploaded: gws_checklist_2019-modee-v6.0-en-1.pdf</x:v>
      </x:c>
      <x:c r="G69" s="7" t="str">
        <x:v>Not checked</x:v>
      </x:c>
      <x:c r="H69" s="7" t="str"/>
      <x:c r="I69" s="7" t="str"/>
      <x:c r="J69" s="7" t="str"/>
      <x:c r="K69" s="7" t="str"/>
    </x:row>
    <x:row r="70">
      <x:c r="A70" s="7" t="str">
        <x:v>U.2.1-024</x:v>
      </x:c>
      <x:c r="B70" s="7" t="str">
        <x:v>Component 2 - Usability and Design</x:v>
      </x:c>
      <x:c r="C70" s="7" t="str">
        <x:v>U.2.1 Site Navigation and Effective Sitemap</x:v>
      </x:c>
      <x:c r="D70" s="7" t="n">
        <x:v>24</x:v>
      </x:c>
      <x:c r="E70" s="7" t="str">
        <x:v>Does the breadcrumb reflect the true hierarchy of the website and not the path site visitors have chosen?</x:v>
      </x:c>
      <x:c r="F70" s="7" t="str">
        <x:v>Uploaded: gws_checklist_2019-modee-v6.0-en-1.pdf</x:v>
      </x:c>
      <x:c r="G70" s="7" t="str">
        <x:v>Not checked</x:v>
      </x:c>
      <x:c r="H70" s="7" t="str"/>
      <x:c r="I70" s="7" t="str"/>
      <x:c r="J70" s="7" t="str"/>
      <x:c r="K70" s="7" t="str"/>
    </x:row>
    <x:row r="71">
      <x:c r="A71" s="7" t="str">
        <x:v>U.2.1-025</x:v>
      </x:c>
      <x:c r="B71" s="7" t="str">
        <x:v>Component 2 - Usability and Design</x:v>
      </x:c>
      <x:c r="C71" s="7" t="str">
        <x:v>U.2.1 Site Navigation and Effective Sitemap</x:v>
      </x:c>
      <x:c r="D71" s="7" t="n">
        <x:v>25</x:v>
      </x:c>
      <x:c r="E71" s="7" t="str">
        <x:v>Does the breadcrumb start with the Homepage link?</x:v>
      </x:c>
      <x:c r="F71" s="7" t="str">
        <x:v>Uploaded: gws_checklist_2019-modee-v6.0-en-1.pdf</x:v>
      </x:c>
      <x:c r="G71" s="7" t="str">
        <x:v>Not checked</x:v>
      </x:c>
      <x:c r="H71" s="7" t="str"/>
      <x:c r="I71" s="7" t="str"/>
      <x:c r="J71" s="7" t="str"/>
      <x:c r="K71" s="7" t="str"/>
    </x:row>
    <x:row r="72">
      <x:c r="A72" s="7" t="str">
        <x:v>U.2.1-026</x:v>
      </x:c>
      <x:c r="B72" s="7" t="str">
        <x:v>Component 2 - Usability and Design</x:v>
      </x:c>
      <x:c r="C72" s="7" t="str">
        <x:v>U.2.1 Site Navigation and Effective Sitemap</x:v>
      </x:c>
      <x:c r="D72" s="7" t="n">
        <x:v>26</x:v>
      </x:c>
      <x:c r="E72" s="7" t="str">
        <x:v>Are the breadcrumb levels equal or less than five-levels?</x:v>
      </x:c>
      <x:c r="F72" s="7" t="str">
        <x:v>Uploaded: gws_checklist_2019-modee-v6.0-en-1.pdf</x:v>
      </x:c>
      <x:c r="G72" s="7" t="str">
        <x:v>Not checked</x:v>
      </x:c>
      <x:c r="H72" s="7" t="str"/>
      <x:c r="I72" s="7" t="str"/>
      <x:c r="J72" s="7" t="str"/>
      <x:c r="K72" s="7" t="str"/>
    </x:row>
    <x:row r="73">
      <x:c r="A73" s="7" t="str">
        <x:v>U.2.1-027</x:v>
      </x:c>
      <x:c r="B73" s="7" t="str">
        <x:v>Component 2 - Usability and Design</x:v>
      </x:c>
      <x:c r="C73" s="7" t="str">
        <x:v>U.2.1 Site Navigation and Effective Sitemap</x:v>
      </x:c>
      <x:c r="D73" s="7" t="n">
        <x:v>27</x:v>
      </x:c>
      <x:c r="E73" s="7" t="str">
        <x:v>Is the horizontal tab navigation ordered depending on language; left-to-right in English, and right-to-left in Arabic?</x:v>
      </x:c>
      <x:c r="F73" s="7" t="str">
        <x:v>Uploaded: gws_checklist_2019-modee-v6.0-en-1.pdf</x:v>
      </x:c>
      <x:c r="G73" s="7" t="str">
        <x:v>Not checked</x:v>
      </x:c>
      <x:c r="H73" s="7" t="str"/>
      <x:c r="I73" s="7" t="str"/>
      <x:c r="J73" s="7" t="str"/>
      <x:c r="K73" s="7" t="str"/>
    </x:row>
    <x:row r="74">
      <x:c r="A74" s="7" t="str">
        <x:v>U.2.1-028</x:v>
      </x:c>
      <x:c r="B74" s="7" t="str">
        <x:v>Component 2 - Usability and Design</x:v>
      </x:c>
      <x:c r="C74" s="7" t="str">
        <x:v>U.2.1 Site Navigation and Effective Sitemap</x:v>
      </x:c>
      <x:c r="D74" s="7" t="n">
        <x:v>28</x:v>
      </x:c>
      <x:c r="E74" s="7" t="str">
        <x:v>Are the tab navigation items equal or less than five-tabs?</x:v>
      </x:c>
      <x:c r="F74" s="7" t="str">
        <x:v>Uploaded: gws_checklist_2019-modee-v6.0-en-1.pdf</x:v>
      </x:c>
      <x:c r="G74" s="7" t="str">
        <x:v>Not checked</x:v>
      </x:c>
      <x:c r="H74" s="7" t="str"/>
      <x:c r="I74" s="7" t="str"/>
      <x:c r="J74" s="7" t="str"/>
      <x:c r="K74" s="7" t="str"/>
    </x:row>
    <x:row r="75">
      <x:c r="A75" s="7" t="str">
        <x:v>U.2.1-029</x:v>
      </x:c>
      <x:c r="B75" s="7" t="str">
        <x:v>Component 2 - Usability and Design</x:v>
      </x:c>
      <x:c r="C75" s="7" t="str">
        <x:v>U.2.1 Site Navigation and Effective Sitemap</x:v>
      </x:c>
      <x:c r="D75" s="7" t="n">
        <x:v>29</x:v>
      </x:c>
      <x:c r="E75" s="7" t="str">
        <x:v>Are tab navigation labels short and meaningful?</x:v>
      </x:c>
      <x:c r="F75" s="7" t="str">
        <x:v>Uploaded: gws_checklist_2019-modee-v6.0-en-1.pdf</x:v>
      </x:c>
      <x:c r="G75" s="7" t="str">
        <x:v>Not checked</x:v>
      </x:c>
      <x:c r="H75" s="7" t="str"/>
      <x:c r="I75" s="7" t="str"/>
      <x:c r="J75" s="7" t="str"/>
      <x:c r="K75" s="7" t="str"/>
    </x:row>
    <x:row r="76">
      <x:c r="A76" s="7" t="str">
        <x:v>U.2.1-030</x:v>
      </x:c>
      <x:c r="B76" s="7" t="str">
        <x:v>Component 2 - Usability and Design</x:v>
      </x:c>
      <x:c r="C76" s="7" t="str">
        <x:v>U.2.1 Site Navigation and Effective Sitemap</x:v>
      </x:c>
      <x:c r="D76" s="7" t="n">
        <x:v>30</x:v>
      </x:c>
      <x:c r="E76" s="7" t="str">
        <x:v>Does clicking on the logo direct the site visitor to the homepage?</x:v>
      </x:c>
      <x:c r="F76" s="7" t="str">
        <x:v>Uploaded: gws_checklist_2019-modee-v6.0-en-1.pdf</x:v>
      </x:c>
      <x:c r="G76" s="7" t="str">
        <x:v>Not checked</x:v>
      </x:c>
      <x:c r="H76" s="7" t="str"/>
      <x:c r="I76" s="7" t="str"/>
      <x:c r="J76" s="7" t="str"/>
      <x:c r="K76" s="7" t="str"/>
    </x:row>
    <x:row r="77">
      <x:c r="A77" s="7" t="str">
        <x:v>U.2.1-031</x:v>
      </x:c>
      <x:c r="B77" s="7" t="str">
        <x:v>Component 2 - Usability and Design</x:v>
      </x:c>
      <x:c r="C77" s="7" t="str">
        <x:v>U.2.1 Site Navigation and Effective Sitemap</x:v>
      </x:c>
      <x:c r="D77" s="7" t="n">
        <x:v>31</x:v>
      </x:c>
      <x:c r="E77" s="7" t="str">
        <x:v>Does the secondary menu contain a link to the homepage?</x:v>
      </x:c>
      <x:c r="F77" s="7" t="str">
        <x:v>Uploaded: gws_checklist_2019-modee-v6.0-en-1.pdf</x:v>
      </x:c>
      <x:c r="G77" s="7" t="str">
        <x:v>Not checked</x:v>
      </x:c>
      <x:c r="H77" s="7" t="str"/>
      <x:c r="I77" s="7" t="str"/>
      <x:c r="J77" s="7" t="str"/>
      <x:c r="K77" s="7" t="str"/>
    </x:row>
    <x:row r="78">
      <x:c r="A78" s="7" t="str">
        <x:v>U.2.1-032</x:v>
      </x:c>
      <x:c r="B78" s="7" t="str">
        <x:v>Component 2 - Usability and Design</x:v>
      </x:c>
      <x:c r="C78" s="7" t="str">
        <x:v>U.2.1 Site Navigation and Effective Sitemap</x:v>
      </x:c>
      <x:c r="D78" s="7" t="n">
        <x:v>32</x:v>
      </x:c>
      <x:c r="E78" s="7" t="str">
        <x:v>Does Breadcrumb start with the homepage link?</x:v>
      </x:c>
      <x:c r="F78" s="7" t="str">
        <x:v>Uploaded: gws_checklist_2019-modee-v6.0-en-1.pdf</x:v>
      </x:c>
      <x:c r="G78" s="7" t="str">
        <x:v>Not checked</x:v>
      </x:c>
      <x:c r="H78" s="7" t="str"/>
      <x:c r="I78" s="7" t="str"/>
      <x:c r="J78" s="7" t="str"/>
      <x:c r="K78" s="7" t="str"/>
    </x:row>
    <x:row r="79">
      <x:c r="A79" s="7" t="str">
        <x:v>U.2.1-033</x:v>
      </x:c>
      <x:c r="B79" s="7" t="str">
        <x:v>Component 2 - Usability and Design</x:v>
      </x:c>
      <x:c r="C79" s="7" t="str">
        <x:v>U.2.1 Site Navigation and Effective Sitemap</x:v>
      </x:c>
      <x:c r="D79" s="7" t="n">
        <x:v>33</x:v>
      </x:c>
      <x:c r="E79" s="7" t="str">
        <x:v>Is there a sitemap?</x:v>
      </x:c>
      <x:c r="F79" s="7" t="str">
        <x:v>Uploaded: gws_checklist_2019-modee-v6.0-en-1.pdf</x:v>
      </x:c>
      <x:c r="G79" s="7" t="str">
        <x:v>Not checked</x:v>
      </x:c>
      <x:c r="H79" s="7" t="str"/>
      <x:c r="I79" s="7" t="str"/>
      <x:c r="J79" s="7" t="str"/>
      <x:c r="K79" s="7" t="str"/>
    </x:row>
    <x:row r="80">
      <x:c r="A80" s="7" t="str">
        <x:v>U.2.1-034</x:v>
      </x:c>
      <x:c r="B80" s="7" t="str">
        <x:v>Component 2 - Usability and Design</x:v>
      </x:c>
      <x:c r="C80" s="7" t="str">
        <x:v>U.2.1 Site Navigation and Effective Sitemap</x:v>
      </x:c>
      <x:c r="D80" s="7" t="n">
        <x:v>34</x:v>
      </x:c>
      <x:c r="E80" s="7" t="str">
        <x:v>Can visitors reach the sitemap from the secondary menu?</x:v>
      </x:c>
      <x:c r="F80" s="7" t="str">
        <x:v>Uploaded: gws_checklist_2019-modee-v6.0-en-1.pdf</x:v>
      </x:c>
      <x:c r="G80" s="7" t="str">
        <x:v>Not checked</x:v>
      </x:c>
      <x:c r="H80" s="7" t="str"/>
      <x:c r="I80" s="7" t="str"/>
      <x:c r="J80" s="7" t="str"/>
      <x:c r="K80" s="7" t="str"/>
    </x:row>
    <x:row r="81">
      <x:c r="A81" s="7" t="str">
        <x:v>U.2.1-035</x:v>
      </x:c>
      <x:c r="B81" s="7" t="str">
        <x:v>Component 2 - Usability and Design</x:v>
      </x:c>
      <x:c r="C81" s="7" t="str">
        <x:v>U.2.1 Site Navigation and Effective Sitemap</x:v>
      </x:c>
      <x:c r="D81" s="7" t="n">
        <x:v>35</x:v>
      </x:c>
      <x:c r="E81" s="7" t="str">
        <x:v>Does the sitemap list down pages in a clear, hierarchical order?</x:v>
      </x:c>
      <x:c r="F81" s="7" t="str">
        <x:v>Uploaded: gws_checklist_2019-modee-v6.0-en-1.pdf</x:v>
      </x:c>
      <x:c r="G81" s="7" t="str">
        <x:v>Not checked</x:v>
      </x:c>
      <x:c r="H81" s="7" t="str"/>
      <x:c r="I81" s="7" t="str"/>
      <x:c r="J81" s="7" t="str"/>
      <x:c r="K81" s="7" t="str"/>
    </x:row>
    <x:row r="82">
      <x:c r="A82" s="7" t="str">
        <x:v>U.2.2-036</x:v>
      </x:c>
      <x:c r="B82" s="7" t="str">
        <x:v>Component 2 - Usability and Design</x:v>
      </x:c>
      <x:c r="C82" s="7" t="str">
        <x:v>U.2.2 Homepage</x:v>
      </x:c>
      <x:c r="D82" s="7" t="n">
        <x:v>36</x:v>
      </x:c>
      <x:c r="E82" s="7" t="str">
        <x:v>Are the homepage design and organization of elements based on the users’ needs and expectations?</x:v>
      </x:c>
      <x:c r="F82" s="7" t="str">
        <x:v>Uploaded: gws_checklist_2019-modee-v6.0-en-1.pdf</x:v>
      </x:c>
      <x:c r="G82" s="7" t="str">
        <x:v>Not checked</x:v>
      </x:c>
      <x:c r="H82" s="7" t="str"/>
      <x:c r="I82" s="7" t="str"/>
      <x:c r="J82" s="7" t="str"/>
      <x:c r="K82" s="7" t="str"/>
    </x:row>
    <x:row r="83">
      <x:c r="A83" s="7" t="str">
        <x:v>U.2.2-037</x:v>
      </x:c>
      <x:c r="B83" s="7" t="str">
        <x:v>Component 2 - Usability and Design</x:v>
      </x:c>
      <x:c r="C83" s="7" t="str">
        <x:v>U.2.2 Homepage</x:v>
      </x:c>
      <x:c r="D83" s="7" t="n">
        <x:v>37</x:v>
      </x:c>
      <x:c r="E83" s="7" t="str">
        <x:v>Does the homepage consist of a Header, Body, and Footer?</x:v>
      </x:c>
      <x:c r="F83" s="7" t="str">
        <x:v>Uploaded: gws_checklist_2019-modee-v6.0-en-1.pdf</x:v>
      </x:c>
      <x:c r="G83" s="7" t="str">
        <x:v>Not checked</x:v>
      </x:c>
      <x:c r="H83" s="7" t="str"/>
      <x:c r="I83" s="7" t="str"/>
      <x:c r="J83" s="7" t="str"/>
      <x:c r="K83" s="7" t="str"/>
    </x:row>
    <x:row r="84">
      <x:c r="A84" s="7" t="str">
        <x:v>U.2.2-038</x:v>
      </x:c>
      <x:c r="B84" s="7" t="str">
        <x:v>Component 2 - Usability and Design</x:v>
      </x:c>
      <x:c r="C84" s="7" t="str">
        <x:v>U.2.2 Homepage</x:v>
      </x:c>
      <x:c r="D84" s="7" t="n">
        <x:v>38</x:v>
      </x:c>
      <x:c r="E84" s="7" t="str">
        <x:v>Are homepage components organized in horizontal sections?</x:v>
      </x:c>
      <x:c r="F84" s="7" t="str">
        <x:v>Uploaded: gws_checklist_2019-modee-v6.0-en-1.pdf</x:v>
      </x:c>
      <x:c r="G84" s="7" t="str">
        <x:v>Not checked</x:v>
      </x:c>
      <x:c r="H84" s="7" t="str"/>
      <x:c r="I84" s="7" t="str"/>
      <x:c r="J84" s="7" t="str"/>
      <x:c r="K84" s="7" t="str"/>
    </x:row>
    <x:row r="85">
      <x:c r="A85" s="7" t="str">
        <x:v>U.2.2-039</x:v>
      </x:c>
      <x:c r="B85" s="7" t="str">
        <x:v>Component 2 - Usability and Design</x:v>
      </x:c>
      <x:c r="C85" s="7" t="str">
        <x:v>U.2.2 Homepage</x:v>
      </x:c>
      <x:c r="D85" s="7" t="n">
        <x:v>39</x:v>
      </x:c>
      <x:c r="E85" s="7" t="str">
        <x:v>Is the homepage design consistent and user-friendly?</x:v>
      </x:c>
      <x:c r="F85" s="7" t="str">
        <x:v>Uploaded: gws_checklist_2019-modee-v6.0-en-1.pdf</x:v>
      </x:c>
      <x:c r="G85" s="7" t="str">
        <x:v>Not checked</x:v>
      </x:c>
      <x:c r="H85" s="7" t="str"/>
      <x:c r="I85" s="7" t="str"/>
      <x:c r="J85" s="7" t="str"/>
      <x:c r="K85" s="7" t="str"/>
    </x:row>
    <x:row r="86">
      <x:c r="A86" s="7" t="str">
        <x:v>U.2.2-040</x:v>
      </x:c>
      <x:c r="B86" s="7" t="str">
        <x:v>Component 2 - Usability and Design</x:v>
      </x:c>
      <x:c r="C86" s="7" t="str">
        <x:v>U.2.2 Homepage</x:v>
      </x:c>
      <x:c r="D86" s="7" t="n">
        <x:v>40</x:v>
      </x:c>
      <x:c r="E86" s="7" t="str">
        <x:v>Does the ratio between the graphics and user interface colors equal 3:1 or more?</x:v>
      </x:c>
      <x:c r="F86" s="7" t="str">
        <x:v>Uploaded: gws_checklist_2019-modee-v6.0-en-1.pdf</x:v>
      </x:c>
      <x:c r="G86" s="7" t="str">
        <x:v>Not checked</x:v>
      </x:c>
      <x:c r="H86" s="7" t="str"/>
      <x:c r="I86" s="7" t="str"/>
      <x:c r="J86" s="7" t="str"/>
      <x:c r="K86" s="7" t="str"/>
    </x:row>
    <x:row r="87">
      <x:c r="A87" s="7" t="str">
        <x:v>U.2.2-041</x:v>
      </x:c>
      <x:c r="B87" s="7" t="str">
        <x:v>Component 2 - Usability and Design</x:v>
      </x:c>
      <x:c r="C87" s="7" t="str">
        <x:v>U.2.2 Homepage</x:v>
      </x:c>
      <x:c r="D87" s="7" t="n">
        <x:v>41</x:v>
      </x:c>
      <x:c r="E87" s="7" t="str">
        <x:v>Does the ratio between the normal text foreground and background colors equal 4.5:1 or more?</x:v>
      </x:c>
      <x:c r="F87" s="7" t="str">
        <x:v>Uploaded: gws_checklist_2019-modee-v6.0-en-1.pdf</x:v>
      </x:c>
      <x:c r="G87" s="7" t="str">
        <x:v>Not checked</x:v>
      </x:c>
      <x:c r="H87" s="7" t="str"/>
      <x:c r="I87" s="7" t="str"/>
      <x:c r="J87" s="7" t="str"/>
      <x:c r="K87" s="7" t="str"/>
    </x:row>
    <x:row r="88">
      <x:c r="A88" s="7" t="str">
        <x:v>U.2.2-042</x:v>
      </x:c>
      <x:c r="B88" s="7" t="str">
        <x:v>Component 2 - Usability and Design</x:v>
      </x:c>
      <x:c r="C88" s="7" t="str">
        <x:v>U.2.2 Homepage</x:v>
      </x:c>
      <x:c r="D88" s="7" t="n">
        <x:v>42</x:v>
      </x:c>
      <x:c r="E88" s="7" t="str">
        <x:v>Does the ratio between the large text foreground and background colors equal 3:1 or more?</x:v>
      </x:c>
      <x:c r="F88" s="7" t="str">
        <x:v>Uploaded: gws_checklist_2019-modee-v6.0-en-1.pdf</x:v>
      </x:c>
      <x:c r="G88" s="7" t="str">
        <x:v>Not checked</x:v>
      </x:c>
      <x:c r="H88" s="7" t="str"/>
      <x:c r="I88" s="7" t="str"/>
      <x:c r="J88" s="7" t="str"/>
      <x:c r="K88" s="7" t="str"/>
    </x:row>
    <x:row r="89">
      <x:c r="A89" s="7" t="str">
        <x:v>U.2.2-043</x:v>
      </x:c>
      <x:c r="B89" s="7" t="str">
        <x:v>Component 2 - Usability and Design</x:v>
      </x:c>
      <x:c r="C89" s="7" t="str">
        <x:v>U.2.2 Homepage</x:v>
      </x:c>
      <x:c r="D89" s="7" t="n">
        <x:v>43</x:v>
      </x:c>
      <x:c r="E89" s="7" t="str">
        <x:v>Is the entity’s logo placed at the header in the upper-right corner of the Arabic version of the website?</x:v>
      </x:c>
      <x:c r="F89" s="7" t="str">
        <x:v>Uploaded: gws_checklist_2019-modee-v6.0-en-1.pdf</x:v>
      </x:c>
      <x:c r="G89" s="7" t="str">
        <x:v>Not checked</x:v>
      </x:c>
      <x:c r="H89" s="7" t="str"/>
      <x:c r="I89" s="7" t="str"/>
      <x:c r="J89" s="7" t="str"/>
      <x:c r="K89" s="7" t="str"/>
    </x:row>
    <x:row r="90">
      <x:c r="A90" s="7" t="str">
        <x:v>U.2.2-044</x:v>
      </x:c>
      <x:c r="B90" s="7" t="str">
        <x:v>Component 2 - Usability and Design</x:v>
      </x:c>
      <x:c r="C90" s="7" t="str">
        <x:v>U.2.2 Homepage</x:v>
      </x:c>
      <x:c r="D90" s="7" t="n">
        <x:v>44</x:v>
      </x:c>
      <x:c r="E90" s="7" t="str">
        <x:v>Is the entity’s logo placed at the header in the upper-left corner of the English version of the website?</x:v>
      </x:c>
      <x:c r="F90" s="7" t="str">
        <x:v>Uploaded: gws_checklist_2019-modee-v6.0-en-1.pdf</x:v>
      </x:c>
      <x:c r="G90" s="7" t="str">
        <x:v>Not checked</x:v>
      </x:c>
      <x:c r="H90" s="7" t="str"/>
      <x:c r="I90" s="7" t="str"/>
      <x:c r="J90" s="7" t="str"/>
      <x:c r="K90" s="7" t="str"/>
    </x:row>
    <x:row r="91">
      <x:c r="A91" s="7" t="str">
        <x:v>U.2.2-045</x:v>
      </x:c>
      <x:c r="B91" s="7" t="str">
        <x:v>Component 2 - Usability and Design</x:v>
      </x:c>
      <x:c r="C91" s="7" t="str">
        <x:v>U.2.2 Homepage</x:v>
      </x:c>
      <x:c r="D91" s="7" t="n">
        <x:v>45</x:v>
      </x:c>
      <x:c r="E91" s="7" t="str">
        <x:v>Is the accessibility bar easily found, clear, and consistent at the header?</x:v>
      </x:c>
      <x:c r="F91" s="7" t="str">
        <x:v>Uploaded: gws_checklist_2019-modee-v6.0-en-1.pdf</x:v>
      </x:c>
      <x:c r="G91" s="7" t="str">
        <x:v>Not checked</x:v>
      </x:c>
      <x:c r="H91" s="7" t="str"/>
      <x:c r="I91" s="7" t="str"/>
      <x:c r="J91" s="7" t="str"/>
      <x:c r="K91" s="7" t="str"/>
    </x:row>
    <x:row r="92">
      <x:c r="A92" s="7" t="str">
        <x:v>U.2.2-046</x:v>
      </x:c>
      <x:c r="B92" s="7" t="str">
        <x:v>Component 2 - Usability and Design</x:v>
      </x:c>
      <x:c r="C92" s="7" t="str">
        <x:v>U.2.2 Homepage</x:v>
      </x:c>
      <x:c r="D92" s="7" t="n">
        <x:v>46</x:v>
      </x:c>
      <x:c r="E92" s="7" t="str">
        <x:v>Does the header contain the main menu?</x:v>
      </x:c>
      <x:c r="F92" s="7" t="str">
        <x:v>Uploaded: gws_checklist_2019-modee-v6.0-en-1.pdf</x:v>
      </x:c>
      <x:c r="G92" s="7" t="str">
        <x:v>Not checked</x:v>
      </x:c>
      <x:c r="H92" s="7" t="str"/>
      <x:c r="I92" s="7" t="str"/>
      <x:c r="J92" s="7" t="str"/>
      <x:c r="K92" s="7" t="str"/>
    </x:row>
    <x:row r="93">
      <x:c r="A93" s="7" t="str">
        <x:v>U.2.2-047</x:v>
      </x:c>
      <x:c r="B93" s="7" t="str">
        <x:v>Component 2 - Usability and Design</x:v>
      </x:c>
      <x:c r="C93" s="7" t="str">
        <x:v>U.2.2 Homepage</x:v>
      </x:c>
      <x:c r="D93" s="7" t="n">
        <x:v>47</x:v>
      </x:c>
      <x:c r="E93" s="7" t="str">
        <x:v>Does the header contain the secondary menu?</x:v>
      </x:c>
      <x:c r="F93" s="7" t="str">
        <x:v>Uploaded: gws_checklist_2019-modee-v6.0-en-1.pdf</x:v>
      </x:c>
      <x:c r="G93" s="7" t="str">
        <x:v>Not checked</x:v>
      </x:c>
      <x:c r="H93" s="7" t="str"/>
      <x:c r="I93" s="7" t="str"/>
      <x:c r="J93" s="7" t="str"/>
      <x:c r="K93" s="7" t="str"/>
    </x:row>
    <x:row r="94">
      <x:c r="A94" s="7" t="str">
        <x:v>U.2.2-048</x:v>
      </x:c>
      <x:c r="B94" s="7" t="str">
        <x:v>Component 2 - Usability and Design</x:v>
      </x:c>
      <x:c r="C94" s="7" t="str">
        <x:v>U.2.2 Homepage</x:v>
      </x:c>
      <x:c r="D94" s="7" t="n">
        <x:v>48</x:v>
      </x:c>
      <x:c r="E94" s="7" t="str">
        <x:v>Are urgent and important announcements found in the “highlight ticker”?</x:v>
      </x:c>
      <x:c r="F94" s="7" t="str">
        <x:v>Uploaded: gws_checklist_2019-modee-v6.0-en-1.pdf</x:v>
      </x:c>
      <x:c r="G94" s="7" t="str">
        <x:v>Not checked</x:v>
      </x:c>
      <x:c r="H94" s="7" t="str"/>
      <x:c r="I94" s="7" t="str"/>
      <x:c r="J94" s="7" t="str"/>
      <x:c r="K94" s="7" t="str"/>
    </x:row>
    <x:row r="95">
      <x:c r="A95" s="7" t="str">
        <x:v>U.2.2-049</x:v>
      </x:c>
      <x:c r="B95" s="7" t="str">
        <x:v>Component 2 - Usability and Design</x:v>
      </x:c>
      <x:c r="C95" s="7" t="str">
        <x:v>U.2.2 Homepage</x:v>
      </x:c>
      <x:c r="D95" s="7" t="n">
        <x:v>49</x:v>
      </x:c>
      <x:c r="E95" s="7" t="str">
        <x:v>Does the Arabic “highlight ticker” text move from left to right?</x:v>
      </x:c>
      <x:c r="F95" s="7" t="str">
        <x:v>Uploaded: gws_checklist_2019-modee-v6.0-en-1.pdf</x:v>
      </x:c>
      <x:c r="G95" s="7" t="str">
        <x:v>Not checked</x:v>
      </x:c>
      <x:c r="H95" s="7" t="str"/>
      <x:c r="I95" s="7" t="str"/>
      <x:c r="J95" s="7" t="str"/>
      <x:c r="K95" s="7" t="str"/>
    </x:row>
    <x:row r="96">
      <x:c r="A96" s="7" t="str">
        <x:v>U.2.2-050</x:v>
      </x:c>
      <x:c r="B96" s="7" t="str">
        <x:v>Component 2 - Usability and Design</x:v>
      </x:c>
      <x:c r="C96" s="7" t="str">
        <x:v>U.2.2 Homepage</x:v>
      </x:c>
      <x:c r="D96" s="7" t="n">
        <x:v>50</x:v>
      </x:c>
      <x:c r="E96" s="7" t="str">
        <x:v>Does the English “highlight ticker” text move from right to left?</x:v>
      </x:c>
      <x:c r="F96" s="7" t="str">
        <x:v>Uploaded: gws_checklist_2019-modee-v6.0-en-1.pdf</x:v>
      </x:c>
      <x:c r="G96" s="7" t="str">
        <x:v>Not checked</x:v>
      </x:c>
      <x:c r="H96" s="7" t="str"/>
      <x:c r="I96" s="7" t="str"/>
      <x:c r="J96" s="7" t="str"/>
      <x:c r="K96" s="7" t="str"/>
    </x:row>
    <x:row r="97">
      <x:c r="A97" s="7" t="str">
        <x:v>U.2.2-051</x:v>
      </x:c>
      <x:c r="B97" s="7" t="str">
        <x:v>Component 2 - Usability and Design</x:v>
      </x:c>
      <x:c r="C97" s="7" t="str">
        <x:v>U.2.2 Homepage</x:v>
      </x:c>
      <x:c r="D97" s="7" t="n">
        <x:v>51</x:v>
      </x:c>
      <x:c r="E97" s="7" t="str">
        <x:v>Can the site visitor control the “highlight ticker” text movement, where it can be moved back and forth, and pause on mouse hover?</x:v>
      </x:c>
      <x:c r="F97" s="7" t="str">
        <x:v>Uploaded: gws_checklist_2019-modee-v6.0-en-1.pdf</x:v>
      </x:c>
      <x:c r="G97" s="7" t="str">
        <x:v>Not checked</x:v>
      </x:c>
      <x:c r="H97" s="7" t="str"/>
      <x:c r="I97" s="7" t="str"/>
      <x:c r="J97" s="7" t="str"/>
      <x:c r="K97" s="7" t="str"/>
    </x:row>
    <x:row r="98">
      <x:c r="A98" s="7" t="str">
        <x:v>U.2.2-052</x:v>
      </x:c>
      <x:c r="B98" s="7" t="str">
        <x:v>Component 2 - Usability and Design</x:v>
      </x:c>
      <x:c r="C98" s="7" t="str">
        <x:v>U.2.2 Homepage</x:v>
      </x:c>
      <x:c r="D98" s="7" t="n">
        <x:v>52</x:v>
      </x:c>
      <x:c r="E98" s="7" t="str">
        <x:v>Does the homepage clearly highlight the entities’ services?</x:v>
      </x:c>
      <x:c r="F98" s="7" t="str">
        <x:v>Uploaded: gws_checklist_2019-modee-v6.0-en-1.pdf</x:v>
      </x:c>
      <x:c r="G98" s="7" t="str">
        <x:v>Not checked</x:v>
      </x:c>
      <x:c r="H98" s="7" t="str"/>
      <x:c r="I98" s="7" t="str"/>
      <x:c r="J98" s="7" t="str"/>
      <x:c r="K98" s="7" t="str"/>
    </x:row>
    <x:row r="99">
      <x:c r="A99" s="7" t="str">
        <x:v>U.2.2-053</x:v>
      </x:c>
      <x:c r="B99" s="7" t="str">
        <x:v>Component 2 - Usability and Design</x:v>
      </x:c>
      <x:c r="C99" s="7" t="str">
        <x:v>U.2.2 Homepage</x:v>
      </x:c>
      <x:c r="D99" s="7" t="n">
        <x:v>53</x:v>
      </x:c>
      <x:c r="E99" s="7" t="str">
        <x:v>Are Services categorized based on the site visitor perspective? For example: Investors, citizens, etc.</x:v>
      </x:c>
      <x:c r="F99" s="7" t="str">
        <x:v>Uploaded: gws_checklist_2019-modee-v6.0-en-1.pdf</x:v>
      </x:c>
      <x:c r="G99" s="7" t="str">
        <x:v>Not checked</x:v>
      </x:c>
      <x:c r="H99" s="7" t="str"/>
      <x:c r="I99" s="7" t="str"/>
      <x:c r="J99" s="7" t="str"/>
      <x:c r="K99" s="7" t="str"/>
    </x:row>
    <x:row r="100">
      <x:c r="A100" s="7" t="str">
        <x:v>U.2.2-054</x:v>
      </x:c>
      <x:c r="B100" s="7" t="str">
        <x:v>Component 2 - Usability and Design</x:v>
      </x:c>
      <x:c r="C100" s="7" t="str">
        <x:v>U.2.2 Homepage</x:v>
      </x:c>
      <x:c r="D100" s="7" t="n">
        <x:v>54</x:v>
      </x:c>
      <x:c r="E100" s="7" t="str">
        <x:v>Does the homepage highlight the entity’s core business information? For example: Financial websites highlight the currency prices.</x:v>
      </x:c>
      <x:c r="F100" s="7" t="str">
        <x:v>Uploaded: gws_checklist_2019-modee-v6.0-en-1.pdf</x:v>
      </x:c>
      <x:c r="G100" s="7" t="str">
        <x:v>Not checked</x:v>
      </x:c>
      <x:c r="H100" s="7" t="str"/>
      <x:c r="I100" s="7" t="str"/>
      <x:c r="J100" s="7" t="str"/>
      <x:c r="K100" s="7" t="str"/>
    </x:row>
    <x:row r="101">
      <x:c r="A101" s="7" t="str">
        <x:v>U.2.2-055</x:v>
      </x:c>
      <x:c r="B101" s="7" t="str">
        <x:v>Component 2 - Usability and Design</x:v>
      </x:c>
      <x:c r="C101" s="7" t="str">
        <x:v>U.2.2 Homepage</x:v>
      </x:c>
      <x:c r="D101" s="7" t="n">
        <x:v>55</x:v>
      </x:c>
      <x:c r="E101" s="7" t="str">
        <x:v>Are the entity’s news highlighted properly in a “news section” that is visible at the homepage?</x:v>
      </x:c>
      <x:c r="F101" s="7" t="str">
        <x:v>Uploaded: gws_checklist_2019-modee-v6.0-en-1.pdf</x:v>
      </x:c>
      <x:c r="G101" s="7" t="str">
        <x:v>Not checked</x:v>
      </x:c>
      <x:c r="H101" s="7" t="str"/>
      <x:c r="I101" s="7" t="str"/>
      <x:c r="J101" s="7" t="str"/>
      <x:c r="K101" s="7" t="str"/>
    </x:row>
    <x:row r="102">
      <x:c r="A102" s="7" t="str">
        <x:v>U.2.2-056</x:v>
      </x:c>
      <x:c r="B102" s="7" t="str">
        <x:v>Component 2 - Usability and Design</x:v>
      </x:c>
      <x:c r="C102" s="7" t="str">
        <x:v>U.2.2 Homepage</x:v>
      </x:c>
      <x:c r="D102" s="7" t="n">
        <x:v>56</x:v>
      </x:c>
      <x:c r="E102" s="7" t="str">
        <x:v>Can visitors easily access important pages from the “browse the site section”?</x:v>
      </x:c>
      <x:c r="F102" s="7" t="str">
        <x:v>Uploaded: gws_checklist_2019-modee-v6.0-en-1.pdf</x:v>
      </x:c>
      <x:c r="G102" s="7" t="str">
        <x:v>Not checked</x:v>
      </x:c>
      <x:c r="H102" s="7" t="str"/>
      <x:c r="I102" s="7" t="str"/>
      <x:c r="J102" s="7" t="str"/>
      <x:c r="K102" s="7" t="str"/>
    </x:row>
    <x:row r="103">
      <x:c r="A103" s="7" t="str">
        <x:v>U.2.2-057</x:v>
      </x:c>
      <x:c r="B103" s="7" t="str">
        <x:v>Component 2 - Usability and Design</x:v>
      </x:c>
      <x:c r="C103" s="7" t="str">
        <x:v>U.2.2 Homepage</x:v>
      </x:c>
      <x:c r="D103" s="7" t="n">
        <x:v>57</x:v>
      </x:c>
      <x:c r="E103" s="7" t="str">
        <x:v>Are cross browsing compatibility and ideal screen resolution statements placed at the website footer?</x:v>
      </x:c>
      <x:c r="F103" s="7" t="str">
        <x:v>Uploaded: gws_checklist_2019-modee-v6.0-en-1.pdf</x:v>
      </x:c>
      <x:c r="G103" s="7" t="str">
        <x:v>Not checked</x:v>
      </x:c>
      <x:c r="H103" s="7" t="str"/>
      <x:c r="I103" s="7" t="str"/>
      <x:c r="J103" s="7" t="str"/>
      <x:c r="K103" s="7" t="str"/>
    </x:row>
    <x:row r="104">
      <x:c r="A104" s="7" t="str">
        <x:v>U.2.2-058</x:v>
      </x:c>
      <x:c r="B104" s="7" t="str">
        <x:v>Component 2 - Usability and Design</x:v>
      </x:c>
      <x:c r="C104" s="7" t="str">
        <x:v>U.2.2 Homepage</x:v>
      </x:c>
      <x:c r="D104" s="7" t="n">
        <x:v>58</x:v>
      </x:c>
      <x:c r="E104" s="7" t="str">
        <x:v>Does the website footer contain links to the software that is necessary to open files? For example: Adobe PDF Reader.</x:v>
      </x:c>
      <x:c r="F104" s="7" t="str">
        <x:v>Uploaded: gws_checklist_2019-modee-v6.0-en-1.pdf</x:v>
      </x:c>
      <x:c r="G104" s="7" t="str">
        <x:v>Not checked</x:v>
      </x:c>
      <x:c r="H104" s="7" t="str"/>
      <x:c r="I104" s="7" t="str"/>
      <x:c r="J104" s="7" t="str"/>
      <x:c r="K104" s="7" t="str"/>
    </x:row>
    <x:row r="105">
      <x:c r="A105" s="7" t="str">
        <x:v>U.2.2-059</x:v>
      </x:c>
      <x:c r="B105" s="7" t="str">
        <x:v>Component 2 - Usability and Design</x:v>
      </x:c>
      <x:c r="C105" s="7" t="str">
        <x:v>U.2.2 Homepage</x:v>
      </x:c>
      <x:c r="D105" s="7" t="n">
        <x:v>59</x:v>
      </x:c>
      <x:c r="E105" s="7" t="str">
        <x:v>Does the footer mention policies statements? - Privacy Policy. - Terms of Use. - Disclaimer. - Copyright.</x:v>
      </x:c>
      <x:c r="F105" s="7" t="str">
        <x:v>Uploaded: gws_checklist_2019-modee-v6.0-en-1.pdf</x:v>
      </x:c>
      <x:c r="G105" s="7" t="str">
        <x:v>Not checked</x:v>
      </x:c>
      <x:c r="H105" s="7" t="str"/>
      <x:c r="I105" s="7" t="str"/>
      <x:c r="J105" s="7" t="str"/>
      <x:c r="K105" s="7" t="str"/>
    </x:row>
    <x:row r="106">
      <x:c r="A106" s="7" t="str">
        <x:v>U.2.2-060</x:v>
      </x:c>
      <x:c r="B106" s="7" t="str">
        <x:v>Component 2 - Usability and Design</x:v>
      </x:c>
      <x:c r="C106" s="7" t="str">
        <x:v>U.2.2 Homepage</x:v>
      </x:c>
      <x:c r="D106" s="7" t="n">
        <x:v>60</x:v>
      </x:c>
      <x:c r="E106" s="7" t="str">
        <x:v>Does the footer display the Headquarter Contact information? - Phone Numbers. - Working Hours. - Location. - Fax.</x:v>
      </x:c>
      <x:c r="F106" s="7" t="str">
        <x:v>Uploaded: gws_checklist_2019-modee-v6.0-en-1.pdf</x:v>
      </x:c>
      <x:c r="G106" s="7" t="str">
        <x:v>Not checked</x:v>
      </x:c>
      <x:c r="H106" s="7" t="str"/>
      <x:c r="I106" s="7" t="str"/>
      <x:c r="J106" s="7" t="str"/>
      <x:c r="K106" s="7" t="str"/>
    </x:row>
    <x:row r="107">
      <x:c r="A107" s="7" t="str">
        <x:v>U.2.2-061</x:v>
      </x:c>
      <x:c r="B107" s="7" t="str">
        <x:v>Component 2 - Usability and Design</x:v>
      </x:c>
      <x:c r="C107" s="7" t="str">
        <x:v>U.2.2 Homepage</x:v>
      </x:c>
      <x:c r="D107" s="7" t="n">
        <x:v>61</x:v>
      </x:c>
      <x:c r="E107" s="7" t="str">
        <x:v>Does the website footer contain Governments’ shared banners?</x:v>
      </x:c>
      <x:c r="F107" s="7" t="str">
        <x:v>Uploaded: gws_checklist_2019-modee-v6.0-en-1.pdf</x:v>
      </x:c>
      <x:c r="G107" s="7" t="str">
        <x:v>Not checked</x:v>
      </x:c>
      <x:c r="H107" s="7" t="str"/>
      <x:c r="I107" s="7" t="str"/>
      <x:c r="J107" s="7" t="str"/>
      <x:c r="K107" s="7" t="str"/>
    </x:row>
    <x:row r="108">
      <x:c r="A108" s="7" t="str">
        <x:v>U.2.2-062</x:v>
      </x:c>
      <x:c r="B108" s="7" t="str">
        <x:v>Component 2 - Usability and Design</x:v>
      </x:c>
      <x:c r="C108" s="7" t="str">
        <x:v>U.2.2 Homepage</x:v>
      </x:c>
      <x:c r="D108" s="7" t="n">
        <x:v>62</x:v>
      </x:c>
      <x:c r="E108" s="7" t="str">
        <x:v>Does the website footer contain Last Update Date?</x:v>
      </x:c>
      <x:c r="F108" s="7" t="str">
        <x:v>Uploaded: gws_checklist_2019-modee-v6.0-en-1.pdf</x:v>
      </x:c>
      <x:c r="G108" s="7" t="str">
        <x:v>Not checked</x:v>
      </x:c>
      <x:c r="H108" s="7" t="str"/>
      <x:c r="I108" s="7" t="str"/>
      <x:c r="J108" s="7" t="str"/>
      <x:c r="K108" s="7" t="str"/>
    </x:row>
    <x:row r="109">
      <x:c r="A109" s="7" t="str">
        <x:v>U.2.2-063</x:v>
      </x:c>
      <x:c r="B109" s="7" t="str">
        <x:v>Component 2 - Usability and Design</x:v>
      </x:c>
      <x:c r="C109" s="7" t="str">
        <x:v>U.2.2 Homepage</x:v>
      </x:c>
      <x:c r="D109" s="7" t="n">
        <x:v>63</x:v>
      </x:c>
      <x:c r="E109" s="7" t="str">
        <x:v>Does the website footer display social media buttons?</x:v>
      </x:c>
      <x:c r="F109" s="7" t="str">
        <x:v>Uploaded: gws_checklist_2019-modee-v6.0-en-1.pdf</x:v>
      </x:c>
      <x:c r="G109" s="7" t="str">
        <x:v>Not checked</x:v>
      </x:c>
      <x:c r="H109" s="7" t="str"/>
      <x:c r="I109" s="7" t="str"/>
      <x:c r="J109" s="7" t="str"/>
      <x:c r="K109" s="7" t="str"/>
    </x:row>
    <x:row r="110">
      <x:c r="A110" s="7" t="str">
        <x:v>U.2.3-064</x:v>
      </x:c>
      <x:c r="B110" s="7" t="str">
        <x:v>Component 2 - Usability and Design</x:v>
      </x:c>
      <x:c r="C110" s="7" t="str">
        <x:v>U.2.3 Search Functionality</x:v>
      </x:c>
      <x:c r="D110" s="7" t="n">
        <x:v>64</x:v>
      </x:c>
      <x:c r="E110" s="7" t="str">
        <x:v>Is search facility visible and consistent?</x:v>
      </x:c>
      <x:c r="F110" s="7" t="str">
        <x:v>Uploaded: gws_checklist_2019-modee-v6.0-en-1.pdf</x:v>
      </x:c>
      <x:c r="G110" s="7" t="str">
        <x:v>Not checked</x:v>
      </x:c>
      <x:c r="H110" s="7" t="str"/>
      <x:c r="I110" s="7" t="str"/>
      <x:c r="J110" s="7" t="str"/>
      <x:c r="K110" s="7" t="str"/>
    </x:row>
    <x:row r="111">
      <x:c r="A111" s="7" t="str">
        <x:v>U.2.3-065</x:v>
      </x:c>
      <x:c r="B111" s="7" t="str">
        <x:v>Component 2 - Usability and Design</x:v>
      </x:c>
      <x:c r="C111" s="7" t="str">
        <x:v>U.2.3 Search Functionality</x:v>
      </x:c>
      <x:c r="D111" s="7" t="n">
        <x:v>65</x:v>
      </x:c>
      <x:c r="E111" s="7" t="str">
        <x:v>Does search neglect Arabic special characters? For example: ‫ العربي‬and ‫عربي‬ bring the same results with and without (‫)ال‬.</x:v>
      </x:c>
      <x:c r="F111" s="7" t="str">
        <x:v>Uploaded: gws_checklist_2019-modee-v6.0-en-1.pdf</x:v>
      </x:c>
      <x:c r="G111" s="7" t="str">
        <x:v>Not checked</x:v>
      </x:c>
      <x:c r="H111" s="7" t="str"/>
      <x:c r="I111" s="7" t="str"/>
      <x:c r="J111" s="7" t="str"/>
      <x:c r="K111" s="7" t="str"/>
    </x:row>
    <x:row r="112">
      <x:c r="A112" s="7" t="str">
        <x:v>U.2.3-066</x:v>
      </x:c>
      <x:c r="B112" s="7" t="str">
        <x:v>Component 2 - Usability and Design</x:v>
      </x:c>
      <x:c r="C112" s="7" t="str">
        <x:v>U.2.3 Search Functionality</x:v>
      </x:c>
      <x:c r="D112" s="7" t="n">
        <x:v>66</x:v>
      </x:c>
      <x:c r="E112" s="7" t="str">
        <x:v>Is English search case insensitive? For example: Searching for “HOMEPAGE” is the same as searching for “homepage”.</x:v>
      </x:c>
      <x:c r="F112" s="7" t="str">
        <x:v>Uploaded: gws_checklist_2019-modee-v6.0-en-1.pdf</x:v>
      </x:c>
      <x:c r="G112" s="7" t="str">
        <x:v>Not checked</x:v>
      </x:c>
      <x:c r="H112" s="7" t="str"/>
      <x:c r="I112" s="7" t="str"/>
      <x:c r="J112" s="7" t="str"/>
      <x:c r="K112" s="7" t="str"/>
    </x:row>
    <x:row r="113">
      <x:c r="A113" s="7" t="str">
        <x:v>U.2.3-067</x:v>
      </x:c>
      <x:c r="B113" s="7" t="str">
        <x:v>Component 2 - Usability and Design</x:v>
      </x:c>
      <x:c r="C113" s="7" t="str">
        <x:v>U.2.3 Search Functionality</x:v>
      </x:c>
      <x:c r="D113" s="7" t="n">
        <x:v>67</x:v>
      </x:c>
      <x:c r="E113" s="7" t="str">
        <x:v>Do search results appear in a new page?</x:v>
      </x:c>
      <x:c r="F113" s="7" t="str">
        <x:v>Uploaded: gws_checklist_2019-modee-v6.0-en-1.pdf</x:v>
      </x:c>
      <x:c r="G113" s="7" t="str">
        <x:v>Not checked</x:v>
      </x:c>
      <x:c r="H113" s="7" t="str"/>
      <x:c r="I113" s="7" t="str"/>
      <x:c r="J113" s="7" t="str"/>
      <x:c r="K113" s="7" t="str"/>
    </x:row>
    <x:row r="114">
      <x:c r="A114" s="7" t="str">
        <x:v>U.2.3-068</x:v>
      </x:c>
      <x:c r="B114" s="7" t="str">
        <x:v>Component 2 - Usability and Design</x:v>
      </x:c>
      <x:c r="C114" s="7" t="str">
        <x:v>U.2.3 Search Functionality</x:v>
      </x:c>
      <x:c r="D114" s="7" t="n">
        <x:v>68</x:v>
      </x:c>
      <x:c r="E114" s="7" t="str">
        <x:v>Does search facility show the total number of results?</x:v>
      </x:c>
      <x:c r="F114" s="7" t="str">
        <x:v>Uploaded: gws_checklist_2019-modee-v6.0-en-1.pdf</x:v>
      </x:c>
      <x:c r="G114" s="7" t="str">
        <x:v>Not checked</x:v>
      </x:c>
      <x:c r="H114" s="7" t="str"/>
      <x:c r="I114" s="7" t="str"/>
      <x:c r="J114" s="7" t="str"/>
      <x:c r="K114" s="7" t="str"/>
    </x:row>
    <x:row r="115">
      <x:c r="A115" s="7" t="str">
        <x:v>U.2.3-069</x:v>
      </x:c>
      <x:c r="B115" s="7" t="str">
        <x:v>Component 2 - Usability and Design</x:v>
      </x:c>
      <x:c r="C115" s="7" t="str">
        <x:v>U.2.3 Search Functionality</x:v>
      </x:c>
      <x:c r="D115" s="7" t="n">
        <x:v>69</x:v>
      </x:c>
      <x:c r="E115" s="7" t="str">
        <x:v>Does search facility shows a maximum of 15 results per page?</x:v>
      </x:c>
      <x:c r="F115" s="7" t="str">
        <x:v>Uploaded: gws_checklist_2019-modee-v6.0-en-1.pdf</x:v>
      </x:c>
      <x:c r="G115" s="7" t="str">
        <x:v>Not checked</x:v>
      </x:c>
      <x:c r="H115" s="7" t="str"/>
      <x:c r="I115" s="7" t="str"/>
      <x:c r="J115" s="7" t="str"/>
      <x:c r="K115" s="7" t="str"/>
    </x:row>
    <x:row r="116">
      <x:c r="A116" s="7" t="str">
        <x:v>U.2.4-070</x:v>
      </x:c>
      <x:c r="B116" s="7" t="str">
        <x:v>Component 2 - Usability and Design</x:v>
      </x:c>
      <x:c r="C116" s="7" t="str">
        <x:v>U.2.4 The Use of Icons (Iconography)</x:v>
      </x:c>
      <x:c r="D116" s="7" t="n">
        <x:v>70</x:v>
      </x:c>
      <x:c r="E116" s="7" t="str">
        <x:v>Are “Support Icons” used to draw attention to certain content? For example, Services, menus or features.</x:v>
      </x:c>
      <x:c r="F116" s="7" t="str">
        <x:v>Uploaded: gws_checklist_2019-modee-v6.0-en-1.pdf</x:v>
      </x:c>
      <x:c r="G116" s="7" t="str">
        <x:v>Not checked</x:v>
      </x:c>
      <x:c r="H116" s="7" t="str"/>
      <x:c r="I116" s="7" t="str"/>
      <x:c r="J116" s="7" t="str"/>
      <x:c r="K116" s="7" t="str"/>
    </x:row>
    <x:row r="117">
      <x:c r="A117" s="7" t="str">
        <x:v>U.2.4-071</x:v>
      </x:c>
      <x:c r="B117" s="7" t="str">
        <x:v>Component 2 - Usability and Design</x:v>
      </x:c>
      <x:c r="C117" s="7" t="str">
        <x:v>U.2.4 The Use of Icons (Iconography)</x:v>
      </x:c>
      <x:c r="D117" s="7" t="n">
        <x:v>71</x:v>
      </x:c>
      <x:c r="E117" s="7" t="str">
        <x:v>Do “Support Icons” have visible text describing their meaning?</x:v>
      </x:c>
      <x:c r="F117" s="7" t="str">
        <x:v>Uploaded: gws_checklist_2019-modee-v6.0-en-1.pdf</x:v>
      </x:c>
      <x:c r="G117" s="7" t="str">
        <x:v>Not checked</x:v>
      </x:c>
      <x:c r="H117" s="7" t="str"/>
      <x:c r="I117" s="7" t="str"/>
      <x:c r="J117" s="7" t="str"/>
      <x:c r="K117" s="7" t="str"/>
    </x:row>
    <x:row r="118">
      <x:c r="A118" s="7" t="str">
        <x:v>U.2.4-072</x:v>
      </x:c>
      <x:c r="B118" s="7" t="str">
        <x:v>Component 2 - Usability and Design</x:v>
      </x:c>
      <x:c r="C118" s="7" t="str">
        <x:v>U.2.4 The Use of Icons (Iconography)</x:v>
      </x:c>
      <x:c r="D118" s="7" t="n">
        <x:v>72</x:v>
      </x:c>
      <x:c r="E118" s="7" t="str">
        <x:v>Do “Action Icons” accurately represent the actions and perform them when visitors choose them?</x:v>
      </x:c>
      <x:c r="F118" s="7" t="str">
        <x:v>Uploaded: gws_checklist_2019-modee-v6.0-en-1.pdf</x:v>
      </x:c>
      <x:c r="G118" s="7" t="str">
        <x:v>Not checked</x:v>
      </x:c>
      <x:c r="H118" s="7" t="str"/>
      <x:c r="I118" s="7" t="str"/>
      <x:c r="J118" s="7" t="str"/>
      <x:c r="K118" s="7" t="str"/>
    </x:row>
    <x:row r="119">
      <x:c r="A119" s="7" t="str">
        <x:v>U.2.4-073</x:v>
      </x:c>
      <x:c r="B119" s="7" t="str">
        <x:v>Component 2 - Usability and Design</x:v>
      </x:c>
      <x:c r="C119" s="7" t="str">
        <x:v>U.2.4 The Use of Icons (Iconography)</x:v>
      </x:c>
      <x:c r="D119" s="7" t="n">
        <x:v>73</x:v>
      </x:c>
      <x:c r="E119" s="7" t="str">
        <x:v>Do “Action Icons” have a tool tip on mouse hover that mention the icon function? For example: When mouse hover is on YouTube icon, a label appears with the word “YouTube”.</x:v>
      </x:c>
      <x:c r="F119" s="7" t="str">
        <x:v>Uploaded: gws_checklist_2019-modee-v6.0-en-1.pdf</x:v>
      </x:c>
      <x:c r="G119" s="7" t="str">
        <x:v>Not checked</x:v>
      </x:c>
      <x:c r="H119" s="7" t="str"/>
      <x:c r="I119" s="7" t="str"/>
      <x:c r="J119" s="7" t="str"/>
      <x:c r="K119" s="7" t="str"/>
    </x:row>
    <x:row r="120">
      <x:c r="A120" s="7" t="str">
        <x:v>U.2.4-074</x:v>
      </x:c>
      <x:c r="B120" s="7" t="str">
        <x:v>Component 2 - Usability and Design</x:v>
      </x:c>
      <x:c r="C120" s="7" t="str">
        <x:v>U.2.4 The Use of Icons (Iconography)</x:v>
      </x:c>
      <x:c r="D120" s="7" t="n">
        <x:v>74</x:v>
      </x:c>
      <x:c r="E120" s="7" t="str">
        <x:v>Do website icons follow a consistent style; round edges or sharp, light border or bold, black and white or colored icons?</x:v>
      </x:c>
      <x:c r="F120" s="7" t="str">
        <x:v>Uploaded: gws_checklist_2019-modee-v6.0-en-1.pdf</x:v>
      </x:c>
      <x:c r="G120" s="7" t="str">
        <x:v>Not checked</x:v>
      </x:c>
      <x:c r="H120" s="7" t="str"/>
      <x:c r="I120" s="7" t="str"/>
      <x:c r="J120" s="7" t="str"/>
      <x:c r="K120" s="7" t="str"/>
    </x:row>
    <x:row r="121">
      <x:c r="A121" s="7" t="str">
        <x:v>U.2.4-075</x:v>
      </x:c>
      <x:c r="B121" s="7" t="str">
        <x:v>Component 2 - Usability and Design</x:v>
      </x:c>
      <x:c r="C121" s="7" t="str">
        <x:v>U.2.4 The Use of Icons (Iconography)</x:v>
      </x:c>
      <x:c r="D121" s="7" t="n">
        <x:v>75</x:v>
      </x:c>
      <x:c r="E121" s="7" t="str">
        <x:v>Are the icons simple and classic?</x:v>
      </x:c>
      <x:c r="F121" s="7" t="str">
        <x:v>Uploaded: gws_checklist_2019-modee-v6.0-en-1.pdf</x:v>
      </x:c>
      <x:c r="G121" s="7" t="str">
        <x:v>Not checked</x:v>
      </x:c>
      <x:c r="H121" s="7" t="str"/>
      <x:c r="I121" s="7" t="str"/>
      <x:c r="J121" s="7" t="str"/>
      <x:c r="K121" s="7" t="str"/>
    </x:row>
    <x:row r="122">
      <x:c r="A122" s="7" t="str">
        <x:v>U.2.4-076</x:v>
      </x:c>
      <x:c r="B122" s="7" t="str">
        <x:v>Component 2 - Usability and Design</x:v>
      </x:c>
      <x:c r="C122" s="7" t="str">
        <x:v>U.2.4 The Use of Icons (Iconography)</x:v>
      </x:c>
      <x:c r="D122" s="7" t="n">
        <x:v>76</x:v>
      </x:c>
      <x:c r="E122" s="7" t="str">
        <x:v>Do the icons have simple on-hover effect with no motions?</x:v>
      </x:c>
      <x:c r="F122" s="7" t="str">
        <x:v>Uploaded: gws_checklist_2019-modee-v6.0-en-1.pdf</x:v>
      </x:c>
      <x:c r="G122" s="7" t="str">
        <x:v>Not checked</x:v>
      </x:c>
      <x:c r="H122" s="7" t="str"/>
      <x:c r="I122" s="7" t="str"/>
      <x:c r="J122" s="7" t="str"/>
      <x:c r="K122" s="7" t="str"/>
    </x:row>
    <x:row r="123">
      <x:c r="A123" s="7" t="str">
        <x:v>U.2.4-077</x:v>
      </x:c>
      <x:c r="B123" s="7" t="str">
        <x:v>Component 2 - Usability and Design</x:v>
      </x:c>
      <x:c r="C123" s="7" t="str">
        <x:v>U.2.4 The Use of Icons (Iconography)</x:v>
      </x:c>
      <x:c r="D123" s="7" t="n">
        <x:v>77</x:v>
      </x:c>
      <x:c r="E123" s="7" t="str">
        <x:v>Are icons formats Scalable Vector Graphics (SVG), Portable Network Graphic (PNG)?</x:v>
      </x:c>
      <x:c r="F123" s="7" t="str">
        <x:v>Uploaded: gws_checklist_2019-modee-v6.0-en-1.pdf</x:v>
      </x:c>
      <x:c r="G123" s="7" t="str">
        <x:v>Not checked</x:v>
      </x:c>
      <x:c r="H123" s="7" t="str"/>
      <x:c r="I123" s="7" t="str"/>
      <x:c r="J123" s="7" t="str"/>
      <x:c r="K123" s="7" t="str"/>
    </x:row>
    <x:row r="124">
      <x:c r="A124" s="7" t="str">
        <x:v>U.2.5-078</x:v>
      </x:c>
      <x:c r="B124" s="7" t="str">
        <x:v>Component 2 - Usability and Design</x:v>
      </x:c>
      <x:c r="C124" s="7" t="str">
        <x:v>U.2.5 Images for Web</x:v>
      </x:c>
      <x:c r="D124" s="7" t="n">
        <x:v>78</x:v>
      </x:c>
      <x:c r="E124" s="7" t="str">
        <x:v>Does removing “design-images” have no effect on the website’s functionality? Does it reduce the site visitor’s understanding of the content?</x:v>
      </x:c>
      <x:c r="F124" s="7" t="str">
        <x:v>Uploaded: gws_checklist_2019-modee-v6.0-en-1.pdf</x:v>
      </x:c>
      <x:c r="G124" s="7" t="str">
        <x:v>Not checked</x:v>
      </x:c>
      <x:c r="H124" s="7" t="str"/>
      <x:c r="I124" s="7" t="str"/>
      <x:c r="J124" s="7" t="str"/>
      <x:c r="K124" s="7" t="str"/>
    </x:row>
    <x:row r="125">
      <x:c r="A125" s="7" t="str">
        <x:v>U.2.5-079</x:v>
      </x:c>
      <x:c r="B125" s="7" t="str">
        <x:v>Component 2 - Usability and Design</x:v>
      </x:c>
      <x:c r="C125" s="7" t="str">
        <x:v>U.2.5 Images for Web</x:v>
      </x:c>
      <x:c r="D125" s="7" t="n">
        <x:v>79</x:v>
      </x:c>
      <x:c r="E125" s="7" t="str">
        <x:v>Does the website display “content-images”? For example: News images, photo gallery, ad banner, etc.</x:v>
      </x:c>
      <x:c r="F125" s="7" t="str">
        <x:v>Uploaded: gws_checklist_2019-modee-v6.0-en-1.pdf</x:v>
      </x:c>
      <x:c r="G125" s="7" t="str">
        <x:v>Not checked</x:v>
      </x:c>
      <x:c r="H125" s="7" t="str"/>
      <x:c r="I125" s="7" t="str"/>
      <x:c r="J125" s="7" t="str"/>
      <x:c r="K125" s="7" t="str"/>
    </x:row>
    <x:row r="126">
      <x:c r="A126" s="7" t="str">
        <x:v>U.2.5-080</x:v>
      </x:c>
      <x:c r="B126" s="7" t="str">
        <x:v>Component 2 - Usability and Design</x:v>
      </x:c>
      <x:c r="C126" s="7" t="str">
        <x:v>U.2.5 Images for Web</x:v>
      </x:c>
      <x:c r="D126" s="7" t="n">
        <x:v>80</x:v>
      </x:c>
      <x:c r="E126" s="7" t="str">
        <x:v>Are all images used in the website copyrighted to the government entity itself or free to use?</x:v>
      </x:c>
      <x:c r="F126" s="7" t="str">
        <x:v>Uploaded: gws_checklist_2019-modee-v6.0-en-1.pdf</x:v>
      </x:c>
      <x:c r="G126" s="7" t="str">
        <x:v>Not checked</x:v>
      </x:c>
      <x:c r="H126" s="7" t="str"/>
      <x:c r="I126" s="7" t="str"/>
      <x:c r="J126" s="7" t="str"/>
      <x:c r="K126" s="7" t="str"/>
    </x:row>
    <x:row r="127">
      <x:c r="A127" s="7" t="str">
        <x:v>U.2.5-081</x:v>
      </x:c>
      <x:c r="B127" s="7" t="str">
        <x:v>Component 2 - Usability and Design</x:v>
      </x:c>
      <x:c r="C127" s="7" t="str">
        <x:v>U.2.5 Images for Web</x:v>
      </x:c>
      <x:c r="D127" s="7" t="n">
        <x:v>81</x:v>
      </x:c>
      <x:c r="E127" s="7" t="str">
        <x:v>Are image files that are displayed at full widths optimized to 300KB at maximum?</x:v>
      </x:c>
      <x:c r="F127" s="7" t="str">
        <x:v>Uploaded: gws_checklist_2019-modee-v6.0-en-1.pdf</x:v>
      </x:c>
      <x:c r="G127" s="7" t="str">
        <x:v>Not checked</x:v>
      </x:c>
      <x:c r="H127" s="7" t="str"/>
      <x:c r="I127" s="7" t="str"/>
      <x:c r="J127" s="7" t="str"/>
      <x:c r="K127" s="7" t="str"/>
    </x:row>
    <x:row r="128">
      <x:c r="A128" s="7" t="str">
        <x:v>U.2.5-082</x:v>
      </x:c>
      <x:c r="B128" s="7" t="str">
        <x:v>Component 2 - Usability and Design</x:v>
      </x:c>
      <x:c r="C128" s="7" t="str">
        <x:v>U.2.5 Images for Web</x:v>
      </x:c>
      <x:c r="D128" s="7" t="n">
        <x:v>82</x:v>
      </x:c>
      <x:c r="E128" s="7" t="str">
        <x:v>Are images in the content optimized to 300KB at maximum?</x:v>
      </x:c>
      <x:c r="F128" s="7" t="str">
        <x:v>Uploaded: gws_checklist_2019-modee-v6.0-en-1.pdf</x:v>
      </x:c>
      <x:c r="G128" s="7" t="str">
        <x:v>Not checked</x:v>
      </x:c>
      <x:c r="H128" s="7" t="str"/>
      <x:c r="I128" s="7" t="str"/>
      <x:c r="J128" s="7" t="str"/>
      <x:c r="K128" s="7" t="str"/>
    </x:row>
    <x:row r="129">
      <x:c r="A129" s="7" t="str">
        <x:v>U.2.5-083</x:v>
      </x:c>
      <x:c r="B129" s="7" t="str">
        <x:v>Component 2 - Usability and Design</x:v>
      </x:c>
      <x:c r="C129" s="7" t="str">
        <x:v>U.2.5 Images for Web</x:v>
      </x:c>
      <x:c r="D129" s="7" t="n">
        <x:v>83</x:v>
      </x:c>
      <x:c r="E129" s="7" t="str">
        <x:v>Are images displayed in high-resolution; not pixelated, stretched, or shrunk?</x:v>
      </x:c>
      <x:c r="F129" s="7" t="str">
        <x:v>Uploaded: gws_checklist_2019-modee-v6.0-en-1.pdf</x:v>
      </x:c>
      <x:c r="G129" s="7" t="str">
        <x:v>Not checked</x:v>
      </x:c>
      <x:c r="H129" s="7" t="str"/>
      <x:c r="I129" s="7" t="str"/>
      <x:c r="J129" s="7" t="str"/>
      <x:c r="K129" s="7" t="str"/>
    </x:row>
    <x:row r="130">
      <x:c r="A130" s="7" t="str">
        <x:v>U.2.6-084</x:v>
      </x:c>
      <x:c r="B130" s="7" t="str">
        <x:v>Component 2 - Usability and Design</x:v>
      </x:c>
      <x:c r="C130" s="7" t="str">
        <x:v>U.2.6 Web Forms</x:v>
      </x:c>
      <x:c r="D130" s="7" t="n">
        <x:v>84</x:v>
      </x:c>
      <x:c r="E130" s="7" t="str">
        <x:v>Does the web form introduction comply with GWS? Containing: - Title - Brief Description - Form Purpose</x:v>
      </x:c>
      <x:c r="F130" s="7" t="str">
        <x:v>Uploaded: gws_checklist_2019-modee-v6.0-en-1.pdf</x:v>
      </x:c>
      <x:c r="G130" s="7" t="str">
        <x:v>Not checked</x:v>
      </x:c>
      <x:c r="H130" s="7" t="str"/>
      <x:c r="I130" s="7" t="str"/>
      <x:c r="J130" s="7" t="str"/>
      <x:c r="K130" s="7" t="str"/>
    </x:row>
    <x:row r="131">
      <x:c r="A131" s="7" t="str">
        <x:v>U.2.6-085</x:v>
      </x:c>
      <x:c r="B131" s="7" t="str">
        <x:v>Component 2 - Usability and Design</x:v>
      </x:c>
      <x:c r="C131" s="7" t="str">
        <x:v>U.2.6 Web Forms</x:v>
      </x:c>
      <x:c r="D131" s="7" t="n">
        <x:v>85</x:v>
      </x:c>
      <x:c r="E131" s="7" t="str">
        <x:v>Does the Introduction mention the approximated time needed to finish filling the form?</x:v>
      </x:c>
      <x:c r="F131" s="7" t="str">
        <x:v>Uploaded: gws_checklist_2019-modee-v6.0-en-1.pdf</x:v>
      </x:c>
      <x:c r="G131" s="7" t="str">
        <x:v>Not checked</x:v>
      </x:c>
      <x:c r="H131" s="7" t="str"/>
      <x:c r="I131" s="7" t="str"/>
      <x:c r="J131" s="7" t="str"/>
      <x:c r="K131" s="7" t="str"/>
    </x:row>
    <x:row r="132">
      <x:c r="A132" s="7" t="str">
        <x:v>U.2.6-086</x:v>
      </x:c>
      <x:c r="B132" s="7" t="str">
        <x:v>Component 2 - Usability and Design</x:v>
      </x:c>
      <x:c r="C132" s="7" t="str">
        <x:v>U.2.6 Web Forms</x:v>
      </x:c>
      <x:c r="D132" s="7" t="n">
        <x:v>86</x:v>
      </x:c>
      <x:c r="E132" s="7" t="str">
        <x:v>Does the introduction define any pre-request documents or processes to complete a web form before the site visitor starts filling the form?</x:v>
      </x:c>
      <x:c r="F132" s="7" t="str">
        <x:v>Uploaded: gws_checklist_2019-modee-v6.0-en-1.pdf</x:v>
      </x:c>
      <x:c r="G132" s="7" t="str">
        <x:v>Not checked</x:v>
      </x:c>
      <x:c r="H132" s="7" t="str"/>
      <x:c r="I132" s="7" t="str"/>
      <x:c r="J132" s="7" t="str"/>
      <x:c r="K132" s="7" t="str"/>
    </x:row>
    <x:row r="133">
      <x:c r="A133" s="7" t="str">
        <x:v>U.2.6-087</x:v>
      </x:c>
      <x:c r="B133" s="7" t="str">
        <x:v>Component 2 - Usability and Design</x:v>
      </x:c>
      <x:c r="C133" s="7" t="str">
        <x:v>U.2.6 Web Forms</x:v>
      </x:c>
      <x:c r="D133" s="7" t="n">
        <x:v>87</x:v>
      </x:c>
      <x:c r="E133" s="7" t="str">
        <x:v>Is the web form kept simple, asking the site visitor to enter the needed information only?</x:v>
      </x:c>
      <x:c r="F133" s="7" t="str">
        <x:v>Uploaded: gws_checklist_2019-modee-v6.0-en-1.pdf</x:v>
      </x:c>
      <x:c r="G133" s="7" t="str">
        <x:v>Not checked</x:v>
      </x:c>
      <x:c r="H133" s="7" t="str"/>
      <x:c r="I133" s="7" t="str"/>
      <x:c r="J133" s="7" t="str"/>
      <x:c r="K133" s="7" t="str"/>
    </x:row>
    <x:row r="134">
      <x:c r="A134" s="7" t="str">
        <x:v>U.2.6-088</x:v>
      </x:c>
      <x:c r="B134" s="7" t="str">
        <x:v>Component 2 - Usability and Design</x:v>
      </x:c>
      <x:c r="C134" s="7" t="str">
        <x:v>U.2.6 Web Forms</x:v>
      </x:c>
      <x:c r="D134" s="7" t="n">
        <x:v>88</x:v>
      </x:c>
      <x:c r="E134" s="7" t="str">
        <x:v>Are web forms keyboard-friendly? Can the visitor move through the form using the keyboard?</x:v>
      </x:c>
      <x:c r="F134" s="7" t="str">
        <x:v>Uploaded: gws_checklist_2019-modee-v6.0-en-1.pdf</x:v>
      </x:c>
      <x:c r="G134" s="7" t="str">
        <x:v>Not checked</x:v>
      </x:c>
      <x:c r="H134" s="7" t="str"/>
      <x:c r="I134" s="7" t="str"/>
      <x:c r="J134" s="7" t="str"/>
      <x:c r="K134" s="7" t="str"/>
    </x:row>
    <x:row r="135">
      <x:c r="A135" s="7" t="str">
        <x:v>U.2.6-089</x:v>
      </x:c>
      <x:c r="B135" s="7" t="str">
        <x:v>Component 2 - Usability and Design</x:v>
      </x:c>
      <x:c r="C135" s="7" t="str">
        <x:v>U.2.6 Web Forms</x:v>
      </x:c>
      <x:c r="D135" s="7" t="n">
        <x:v>89</x:v>
      </x:c>
      <x:c r="E135" s="7" t="str">
        <x:v>Do fields and value choices follow logical sequencing? For example: Credit- card number, Expiration date, Security code for fields and a drop-down list of nationality in non-criminal service starts with Jordanian for value choices.</x:v>
      </x:c>
      <x:c r="F135" s="7" t="str">
        <x:v>Uploaded: gws_checklist_2019-modee-v6.0-en-1.pdf</x:v>
      </x:c>
      <x:c r="G135" s="7" t="str">
        <x:v>Not checked</x:v>
      </x:c>
      <x:c r="H135" s="7" t="str"/>
      <x:c r="I135" s="7" t="str"/>
      <x:c r="J135" s="7" t="str"/>
      <x:c r="K135" s="7" t="str"/>
    </x:row>
    <x:row r="136">
      <x:c r="A136" s="7" t="str">
        <x:v>U.2.6-090</x:v>
      </x:c>
      <x:c r="B136" s="7" t="str">
        <x:v>Component 2 - Usability and Design</x:v>
      </x:c>
      <x:c r="C136" s="7" t="str">
        <x:v>U.2.6 Web Forms</x:v>
      </x:c>
      <x:c r="D136" s="7" t="n">
        <x:v>90</x:v>
      </x:c>
      <x:c r="E136" s="7" t="str">
        <x:v>Are mandatory fields kept minimum?</x:v>
      </x:c>
      <x:c r="F136" s="7" t="str">
        <x:v>Uploaded: gws_checklist_2019-modee-v6.0-en-1.pdf</x:v>
      </x:c>
      <x:c r="G136" s="7" t="str">
        <x:v>Not checked</x:v>
      </x:c>
      <x:c r="H136" s="7" t="str"/>
      <x:c r="I136" s="7" t="str"/>
      <x:c r="J136" s="7" t="str"/>
      <x:c r="K136" s="7" t="str"/>
    </x:row>
    <x:row r="137">
      <x:c r="A137" s="7" t="str">
        <x:v>U.2.6-091</x:v>
      </x:c>
      <x:c r="B137" s="7" t="str">
        <x:v>Component 2 - Usability and Design</x:v>
      </x:c>
      <x:c r="C137" s="7" t="str">
        <x:v>U.2.6 Web Forms</x:v>
      </x:c>
      <x:c r="D137" s="7" t="n">
        <x:v>91</x:v>
      </x:c>
      <x:c r="E137" s="7" t="str">
        <x:v>Are mandatory fields clearly labeled or marked with (*) symbol?</x:v>
      </x:c>
      <x:c r="F137" s="7" t="str">
        <x:v>Uploaded: gws_checklist_2019-modee-v6.0-en-1.pdf</x:v>
      </x:c>
      <x:c r="G137" s="7" t="str">
        <x:v>Not checked</x:v>
      </x:c>
      <x:c r="H137" s="7" t="str"/>
      <x:c r="I137" s="7" t="str"/>
      <x:c r="J137" s="7" t="str"/>
      <x:c r="K137" s="7" t="str"/>
    </x:row>
    <x:row r="138">
      <x:c r="A138" s="7" t="str">
        <x:v>U.2.6-092</x:v>
      </x:c>
      <x:c r="B138" s="7" t="str">
        <x:v>Component 2 - Usability and Design</x:v>
      </x:c>
      <x:c r="C138" s="7" t="str">
        <x:v>U.2.6 Web Forms</x:v>
      </x:c>
      <x:c r="D138" s="7" t="n">
        <x:v>92</x:v>
      </x:c>
      <x:c r="E138" s="7" t="str">
        <x:v>Do web form fields provide examples and hints to help the visitor enter the proper information? For example: In credit card data form, give a hint where the visitor can find the CVV code.</x:v>
      </x:c>
      <x:c r="F138" s="7" t="str">
        <x:v>Uploaded: gws_checklist_2019-modee-v6.0-en-1.pdf</x:v>
      </x:c>
      <x:c r="G138" s="7" t="str">
        <x:v>Not checked</x:v>
      </x:c>
      <x:c r="H138" s="7" t="str"/>
      <x:c r="I138" s="7" t="str"/>
      <x:c r="J138" s="7" t="str"/>
      <x:c r="K138" s="7" t="str"/>
    </x:row>
    <x:row r="139">
      <x:c r="A139" s="7" t="str">
        <x:v>U.2.6-093</x:v>
      </x:c>
      <x:c r="B139" s="7" t="str">
        <x:v>Component 2 - Usability and Design</x:v>
      </x:c>
      <x:c r="C139" s="7" t="str">
        <x:v>U.2.6 Web Forms</x:v>
      </x:c>
      <x:c r="D139" s="7" t="n">
        <x:v>93</x:v>
      </x:c>
      <x:c r="E139" s="7" t="str">
        <x:v>Do fields support default values? For example, same day date for date entry fields.</x:v>
      </x:c>
      <x:c r="F139" s="7" t="str">
        <x:v>Uploaded: gws_checklist_2019-modee-v6.0-en-1.pdf</x:v>
      </x:c>
      <x:c r="G139" s="7" t="str">
        <x:v>Not checked</x:v>
      </x:c>
      <x:c r="H139" s="7" t="str"/>
      <x:c r="I139" s="7" t="str"/>
      <x:c r="J139" s="7" t="str"/>
      <x:c r="K139" s="7" t="str"/>
    </x:row>
    <x:row r="140">
      <x:c r="A140" s="7" t="str">
        <x:v>U.2.6-094</x:v>
      </x:c>
      <x:c r="B140" s="7" t="str">
        <x:v>Component 2 - Usability and Design</x:v>
      </x:c>
      <x:c r="C140" s="7" t="str">
        <x:v>U.2.6 Web Forms</x:v>
      </x:c>
      <x:c r="D140" s="7" t="n">
        <x:v>94</x:v>
      </x:c>
      <x:c r="E140" s="7" t="str">
        <x:v>Does the web form have pre-defined inputs? For example: Drop-down lists and radio buttons.</x:v>
      </x:c>
      <x:c r="F140" s="7" t="str">
        <x:v>Uploaded: gws_checklist_2019-modee-v6.0-en-1.pdf</x:v>
      </x:c>
      <x:c r="G140" s="7" t="str">
        <x:v>Not checked</x:v>
      </x:c>
      <x:c r="H140" s="7" t="str"/>
      <x:c r="I140" s="7" t="str"/>
      <x:c r="J140" s="7" t="str"/>
      <x:c r="K140" s="7" t="str"/>
    </x:row>
    <x:row r="141">
      <x:c r="A141" s="7" t="str">
        <x:v>U.2.6-095</x:v>
      </x:c>
      <x:c r="B141" s="7" t="str">
        <x:v>Component 2 - Usability and Design</x:v>
      </x:c>
      <x:c r="C141" s="7" t="str">
        <x:v>U.2.6 Web Forms</x:v>
      </x:c>
      <x:c r="D141" s="7" t="n">
        <x:v>95</x:v>
      </x:c>
      <x:c r="E141" s="7" t="str">
        <x:v>Do web forms mention require types, units, or data formats? For example, JOD, Meters, phone number 07XXXXXXXX, etc.</x:v>
      </x:c>
      <x:c r="F141" s="7" t="str">
        <x:v>Uploaded: gws_checklist_2019-modee-v6.0-en-1.pdf</x:v>
      </x:c>
      <x:c r="G141" s="7" t="str">
        <x:v>Not checked</x:v>
      </x:c>
      <x:c r="H141" s="7" t="str"/>
      <x:c r="I141" s="7" t="str"/>
      <x:c r="J141" s="7" t="str"/>
      <x:c r="K141" s="7" t="str"/>
    </x:row>
    <x:row r="142">
      <x:c r="A142" s="7" t="str">
        <x:v>U.2.6-096</x:v>
      </x:c>
      <x:c r="B142" s="7" t="str">
        <x:v>Component 2 - Usability and Design</x:v>
      </x:c>
      <x:c r="C142" s="7" t="str">
        <x:v>U.2.6 Web Forms</x:v>
      </x:c>
      <x:c r="D142" s="7" t="n">
        <x:v>96</x:v>
      </x:c>
      <x:c r="E142" s="7" t="str">
        <x:v>Do fields that require attachments indicate acceptable sizes?</x:v>
      </x:c>
      <x:c r="F142" s="7" t="str">
        <x:v>Uploaded: gws_checklist_2019-modee-v6.0-en-1.pdf</x:v>
      </x:c>
      <x:c r="G142" s="7" t="str">
        <x:v>Not checked</x:v>
      </x:c>
      <x:c r="H142" s="7" t="str"/>
      <x:c r="I142" s="7" t="str"/>
      <x:c r="J142" s="7" t="str"/>
      <x:c r="K142" s="7" t="str"/>
    </x:row>
    <x:row r="143">
      <x:c r="A143" s="7" t="str">
        <x:v>U.2.6-097</x:v>
      </x:c>
      <x:c r="B143" s="7" t="str">
        <x:v>Component 2 - Usability and Design</x:v>
      </x:c>
      <x:c r="C143" s="7" t="str">
        <x:v>U.2.6 Web Forms</x:v>
      </x:c>
      <x:c r="D143" s="7" t="n">
        <x:v>97</x:v>
      </x:c>
      <x:c r="E143" s="7" t="str">
        <x:v>Is accepted attachments’ format clearly indicated?</x:v>
      </x:c>
      <x:c r="F143" s="7" t="str">
        <x:v>Uploaded: gws_checklist_2019-modee-v6.0-en-1.pdf</x:v>
      </x:c>
      <x:c r="G143" s="7" t="str">
        <x:v>Not checked</x:v>
      </x:c>
      <x:c r="H143" s="7" t="str"/>
      <x:c r="I143" s="7" t="str"/>
      <x:c r="J143" s="7" t="str"/>
      <x:c r="K143" s="7" t="str"/>
    </x:row>
    <x:row r="144">
      <x:c r="A144" s="7" t="str">
        <x:v>U.2.6-098</x:v>
      </x:c>
      <x:c r="B144" s="7" t="str">
        <x:v>Component 2 - Usability and Design</x:v>
      </x:c>
      <x:c r="C144" s="7" t="str">
        <x:v>U.2.6 Web Forms</x:v>
      </x:c>
      <x:c r="D144" s="7" t="n">
        <x:v>98</x:v>
      </x:c>
      <x:c r="E144" s="7" t="str">
        <x:v>Does the form contain reCAPTCHA?</x:v>
      </x:c>
      <x:c r="F144" s="7" t="str">
        <x:v>Uploaded: gws_checklist_2019-modee-v6.0-en-1.pdf</x:v>
      </x:c>
      <x:c r="G144" s="7" t="str">
        <x:v>Not checked</x:v>
      </x:c>
      <x:c r="H144" s="7" t="str"/>
      <x:c r="I144" s="7" t="str"/>
      <x:c r="J144" s="7" t="str"/>
      <x:c r="K144" s="7" t="str"/>
    </x:row>
    <x:row r="145">
      <x:c r="A145" s="7" t="str">
        <x:v>U.2.6-099</x:v>
      </x:c>
      <x:c r="B145" s="7" t="str">
        <x:v>Component 2 - Usability and Design</x:v>
      </x:c>
      <x:c r="C145" s="7" t="str">
        <x:v>U.2.6 Web Forms</x:v>
      </x:c>
      <x:c r="D145" s="7" t="n">
        <x:v>99</x:v>
      </x:c>
      <x:c r="E145" s="7" t="str">
        <x:v>Are web forms’ action buttons (submit + cancel) displayed clearly?</x:v>
      </x:c>
      <x:c r="F145" s="7" t="str">
        <x:v>Uploaded: gws_checklist_2019-modee-v6.0-en-1.pdf</x:v>
      </x:c>
      <x:c r="G145" s="7" t="str">
        <x:v>Not checked</x:v>
      </x:c>
      <x:c r="H145" s="7" t="str"/>
      <x:c r="I145" s="7" t="str"/>
      <x:c r="J145" s="7" t="str"/>
      <x:c r="K145" s="7" t="str"/>
    </x:row>
    <x:row r="146">
      <x:c r="A146" s="7" t="str">
        <x:v>U.2.6-100</x:v>
      </x:c>
      <x:c r="B146" s="7" t="str">
        <x:v>Component 2 - Usability and Design</x:v>
      </x:c>
      <x:c r="C146" s="7" t="str">
        <x:v>U.2.6 Web Forms</x:v>
      </x:c>
      <x:c r="D146" s="7" t="n">
        <x:v>100</x:v>
      </x:c>
      <x:c r="E146" s="7" t="str">
        <x:v>Do buttons alignment depend on the language? Are the primary action buttons on the right in Arabic forms, and on the left in English forms?</x:v>
      </x:c>
      <x:c r="F146" s="7" t="str">
        <x:v>Uploaded: gws_checklist_2019-modee-v6.0-en-1.pdf</x:v>
      </x:c>
      <x:c r="G146" s="7" t="str">
        <x:v>Not checked</x:v>
      </x:c>
      <x:c r="H146" s="7" t="str"/>
      <x:c r="I146" s="7" t="str"/>
      <x:c r="J146" s="7" t="str"/>
      <x:c r="K146" s="7" t="str"/>
    </x:row>
    <x:row r="147">
      <x:c r="A147" s="7" t="str">
        <x:v>U.2.6-101</x:v>
      </x:c>
      <x:c r="B147" s="7" t="str">
        <x:v>Component 2 - Usability and Design</x:v>
      </x:c>
      <x:c r="C147" s="7" t="str">
        <x:v>U.2.6 Web Forms</x:v>
      </x:c>
      <x:c r="D147" s="7" t="n">
        <x:v>101</x:v>
      </x:c>
      <x:c r="E147" s="7" t="str">
        <x:v>Does the site visitor get a confirmation message after submitting the form?</x:v>
      </x:c>
      <x:c r="F147" s="7" t="str">
        <x:v>Uploaded: gws_checklist_2019-modee-v6.0-en-1.pdf</x:v>
      </x:c>
      <x:c r="G147" s="7" t="str">
        <x:v>Not checked</x:v>
      </x:c>
      <x:c r="H147" s="7" t="str"/>
      <x:c r="I147" s="7" t="str"/>
      <x:c r="J147" s="7" t="str"/>
      <x:c r="K147" s="7" t="str"/>
    </x:row>
    <x:row r="148">
      <x:c r="A148" s="7" t="str">
        <x:v>U.2.6-102</x:v>
      </x:c>
      <x:c r="B148" s="7" t="str">
        <x:v>Component 2 - Usability and Design</x:v>
      </x:c>
      <x:c r="C148" s="7" t="str">
        <x:v>U.2.6 Web Forms</x:v>
      </x:c>
      <x:c r="D148" s="7" t="n">
        <x:v>102</x:v>
      </x:c>
      <x:c r="E148" s="7" t="str">
        <x:v>Does the site visitor receive additional contact information after submitting a web form? - Reference number. - Email and/or SMS with additional details. - Duration needed to complete the request. - Facility to print the confirmation message.</x:v>
      </x:c>
      <x:c r="F148" s="7" t="str">
        <x:v>Uploaded: gws_checklist_2019-modee-v6.0-en-1.pdf</x:v>
      </x:c>
      <x:c r="G148" s="7" t="str">
        <x:v>Not checked</x:v>
      </x:c>
      <x:c r="H148" s="7" t="str"/>
      <x:c r="I148" s="7" t="str"/>
      <x:c r="J148" s="7" t="str"/>
      <x:c r="K148" s="7" t="str"/>
    </x:row>
    <x:row r="149">
      <x:c r="A149" s="7" t="str">
        <x:v>U.2.6-103</x:v>
      </x:c>
      <x:c r="B149" s="7" t="str">
        <x:v>Component 2 - Usability and Design</x:v>
      </x:c>
      <x:c r="C149" s="7" t="str">
        <x:v>U.2.6 Web Forms</x:v>
      </x:c>
      <x:c r="D149" s="7" t="n">
        <x:v>103</x:v>
      </x:c>
      <x:c r="E149" s="7" t="str">
        <x:v>Is the site visitor redirected to the homepage after submitting the form?</x:v>
      </x:c>
      <x:c r="F149" s="7" t="str">
        <x:v>Uploaded: gws_checklist_2019-modee-v6.0-en-1.pdf</x:v>
      </x:c>
      <x:c r="G149" s="7" t="str">
        <x:v>Not checked</x:v>
      </x:c>
      <x:c r="H149" s="7" t="str"/>
      <x:c r="I149" s="7" t="str"/>
      <x:c r="J149" s="7" t="str"/>
      <x:c r="K149" s="7" t="str"/>
    </x:row>
    <x:row r="150">
      <x:c r="A150" s="7" t="str">
        <x:v>U.2.7-104</x:v>
      </x:c>
      <x:c r="B150" s="7" t="str">
        <x:v>Component 2 - Usability and Design</x:v>
      </x:c>
      <x:c r="C150" s="7" t="str">
        <x:v>U.2.7 Animations</x:v>
      </x:c>
      <x:c r="D150" s="7" t="n">
        <x:v>104</x:v>
      </x:c>
      <x:c r="E150" s="7" t="str">
        <x:v>Are the website’s animations flash free?</x:v>
      </x:c>
      <x:c r="F150" s="7" t="str">
        <x:v>Uploaded: gws_checklist_2019-modee-v6.0-en-1.pdf</x:v>
      </x:c>
      <x:c r="G150" s="7" t="str">
        <x:v>Not checked</x:v>
      </x:c>
      <x:c r="H150" s="7" t="str"/>
      <x:c r="I150" s="7" t="str"/>
      <x:c r="J150" s="7" t="str"/>
      <x:c r="K150" s="7" t="str"/>
    </x:row>
    <x:row r="151">
      <x:c r="A151" s="7" t="str">
        <x:v>U.2.7-105</x:v>
      </x:c>
      <x:c r="B151" s="7" t="str">
        <x:v>Component 2 - Usability and Design</x:v>
      </x:c>
      <x:c r="C151" s="7" t="str">
        <x:v>U.2.7 Animations</x:v>
      </x:c>
      <x:c r="D151" s="7" t="n">
        <x:v>105</x:v>
      </x:c>
      <x:c r="E151" s="7" t="str">
        <x:v>Are animations kept simple, avoiding animating several elements at once?</x:v>
      </x:c>
      <x:c r="F151" s="7" t="str">
        <x:v>Uploaded: gws_checklist_2019-modee-v6.0-en-1.pdf</x:v>
      </x:c>
      <x:c r="G151" s="7" t="str">
        <x:v>Not checked</x:v>
      </x:c>
      <x:c r="H151" s="7" t="str"/>
      <x:c r="I151" s="7" t="str"/>
      <x:c r="J151" s="7" t="str"/>
      <x:c r="K151" s="7" t="str"/>
    </x:row>
    <x:row r="152">
      <x:c r="A152" s="7" t="str">
        <x:v>U.2.7-106</x:v>
      </x:c>
      <x:c r="B152" s="7" t="str">
        <x:v>Component 2 - Usability and Design</x:v>
      </x:c>
      <x:c r="C152" s="7" t="str">
        <x:v>U.2.7 Animations</x:v>
      </x:c>
      <x:c r="D152" s="7" t="n">
        <x:v>106</x:v>
      </x:c>
      <x:c r="E152" s="7" t="str">
        <x:v>Are animations meaningful?</x:v>
      </x:c>
      <x:c r="F152" s="7" t="str">
        <x:v>Uploaded: gws_checklist_2019-modee-v6.0-en-1.pdf</x:v>
      </x:c>
      <x:c r="G152" s="7" t="str">
        <x:v>Not checked</x:v>
      </x:c>
      <x:c r="H152" s="7" t="str"/>
      <x:c r="I152" s="7" t="str"/>
      <x:c r="J152" s="7" t="str"/>
      <x:c r="K152" s="7" t="str"/>
    </x:row>
    <x:row r="153">
      <x:c r="A153" s="7" t="str">
        <x:v>U.2.7-107</x:v>
      </x:c>
      <x:c r="B153" s="7" t="str">
        <x:v>Component 2 - Usability and Design</x:v>
      </x:c>
      <x:c r="C153" s="7" t="str">
        <x:v>U.2.7 Animations</x:v>
      </x:c>
      <x:c r="D153" s="7" t="n">
        <x:v>107</x:v>
      </x:c>
      <x:c r="E153" s="7" t="str">
        <x:v>Do the duration and speed of the animation comply with GWS?</x:v>
      </x:c>
      <x:c r="F153" s="7" t="str">
        <x:v>Uploaded: gws_checklist_2019-modee-v6.0-en-1.pdf</x:v>
      </x:c>
      <x:c r="G153" s="7" t="str">
        <x:v>Not checked</x:v>
      </x:c>
      <x:c r="H153" s="7" t="str"/>
      <x:c r="I153" s="7" t="str"/>
      <x:c r="J153" s="7" t="str"/>
      <x:c r="K153" s="7" t="str"/>
    </x:row>
    <x:row r="154">
      <x:c r="A154" s="7" t="str">
        <x:v>U.2.7-108</x:v>
      </x:c>
      <x:c r="B154" s="7" t="str">
        <x:v>Component 2 - Usability and Design</x:v>
      </x:c>
      <x:c r="C154" s="7" t="str">
        <x:v>U.2.7 Animations</x:v>
      </x:c>
      <x:c r="D154" s="7" t="n">
        <x:v>108</x:v>
      </x:c>
      <x:c r="E154" s="7" t="str">
        <x:v>Does animations’ motion depend on the language? For example, Arabic news ticker movement is from left to right, English news ticker movement from right to left.</x:v>
      </x:c>
      <x:c r="F154" s="7" t="str">
        <x:v>Uploaded: gws_checklist_2019-modee-v6.0-en-1.pdf</x:v>
      </x:c>
      <x:c r="G154" s="7" t="str">
        <x:v>Not checked</x:v>
      </x:c>
      <x:c r="H154" s="7" t="str"/>
      <x:c r="I154" s="7" t="str"/>
      <x:c r="J154" s="7" t="str"/>
      <x:c r="K154" s="7" t="str"/>
    </x:row>
    <x:row r="155">
      <x:c r="A155" s="7" t="str">
        <x:v>U.2.8-109</x:v>
      </x:c>
      <x:c r="B155" s="7" t="str">
        <x:v>Component 2 - Usability and Design</x:v>
      </x:c>
      <x:c r="C155" s="7" t="str">
        <x:v>U.2.8 Web Design</x:v>
      </x:c>
      <x:c r="D155" s="7" t="n">
        <x:v>109</x:v>
      </x:c>
      <x:c r="E155" s="7" t="str">
        <x:v>is the web design based on the GWS Design Kit?</x:v>
      </x:c>
      <x:c r="F155" s="7" t="str">
        <x:v>Uploaded: gws_checklist_2019-modee-v6.0-en-1.pdf</x:v>
      </x:c>
      <x:c r="G155" s="7" t="str">
        <x:v>Not checked</x:v>
      </x:c>
      <x:c r="H155" s="7" t="str"/>
      <x:c r="I155" s="7" t="str"/>
      <x:c r="J155" s="7" t="str"/>
      <x:c r="K155" s="7" t="str"/>
    </x:row>
    <x:row r="156">
      <x:c r="A156" s="7" t="str">
        <x:v>C.3.1-001</x:v>
      </x:c>
      <x:c r="B156" s="7" t="str">
        <x:v>Component 3 - Content and Site Architecture</x:v>
      </x:c>
      <x:c r="C156" s="7" t="str">
        <x:v>C.3.1 Sitemap</x:v>
      </x:c>
      <x:c r="D156" s="7" t="n">
        <x:v>1</x:v>
      </x:c>
      <x:c r="E156" s="7" t="str">
        <x:v>Does the website have a Sitemap?</x:v>
      </x:c>
      <x:c r="F156" s="7" t="str">
        <x:v>Uploaded: gws_checklist_2019-modee-v6.0-en-1.pdf</x:v>
      </x:c>
      <x:c r="G156" s="7" t="str">
        <x:v>Not checked</x:v>
      </x:c>
      <x:c r="H156" s="7" t="str"/>
      <x:c r="I156" s="7" t="str"/>
      <x:c r="J156" s="7" t="str"/>
      <x:c r="K156" s="7" t="str"/>
    </x:row>
    <x:row r="157">
      <x:c r="A157" s="7" t="str">
        <x:v>C.3.1-002</x:v>
      </x:c>
      <x:c r="B157" s="7" t="str">
        <x:v>Component 3 - Content and Site Architecture</x:v>
      </x:c>
      <x:c r="C157" s="7" t="str">
        <x:v>C.3.1 Sitemap</x:v>
      </x:c>
      <x:c r="D157" s="7" t="n">
        <x:v>2</x:v>
      </x:c>
      <x:c r="E157" s="7" t="str">
        <x:v>Does the Government Website have an “About Us” page?</x:v>
      </x:c>
      <x:c r="F157" s="7" t="str">
        <x:v>Uploaded: gws_checklist_2019-modee-v6.0-en-1.pdf</x:v>
      </x:c>
      <x:c r="G157" s="7" t="str">
        <x:v>Not checked</x:v>
      </x:c>
      <x:c r="H157" s="7" t="str"/>
      <x:c r="I157" s="7" t="str"/>
      <x:c r="J157" s="7" t="str"/>
      <x:c r="K157" s="7" t="str"/>
    </x:row>
    <x:row r="158">
      <x:c r="A158" s="7" t="str">
        <x:v>C.3.1-003</x:v>
      </x:c>
      <x:c r="B158" s="7" t="str">
        <x:v>Component 3 - Content and Site Architecture</x:v>
      </x:c>
      <x:c r="C158" s="7" t="str">
        <x:v>C.3.1 Sitemap</x:v>
      </x:c>
      <x:c r="D158" s="7" t="n">
        <x:v>3</x:v>
      </x:c>
      <x:c r="E158" s="7" t="str">
        <x:v>Does the Government Website have a “Welcome Message”?</x:v>
      </x:c>
      <x:c r="F158" s="7" t="str">
        <x:v>Uploaded: gws_checklist_2019-modee-v6.0-en-1.pdf</x:v>
      </x:c>
      <x:c r="G158" s="7" t="str">
        <x:v>Not checked</x:v>
      </x:c>
      <x:c r="H158" s="7" t="str"/>
      <x:c r="I158" s="7" t="str"/>
      <x:c r="J158" s="7" t="str"/>
      <x:c r="K158" s="7" t="str"/>
    </x:row>
    <x:row r="159">
      <x:c r="A159" s="7" t="str">
        <x:v>C.3.1-004</x:v>
      </x:c>
      <x:c r="B159" s="7" t="str">
        <x:v>Component 3 - Content and Site Architecture</x:v>
      </x:c>
      <x:c r="C159" s="7" t="str">
        <x:v>C.3.1 Sitemap</x:v>
      </x:c>
      <x:c r="D159" s="7" t="n">
        <x:v>4</x:v>
      </x:c>
      <x:c r="E159" s="7" t="str">
        <x:v>Does the Government Website have an “Organization Structure” page?</x:v>
      </x:c>
      <x:c r="F159" s="7" t="str">
        <x:v>Uploaded: gws_checklist_2019-modee-v6.0-en-1.pdf</x:v>
      </x:c>
      <x:c r="G159" s="7" t="str">
        <x:v>Not checked</x:v>
      </x:c>
      <x:c r="H159" s="7" t="str"/>
      <x:c r="I159" s="7" t="str"/>
      <x:c r="J159" s="7" t="str"/>
      <x:c r="K159" s="7" t="str"/>
    </x:row>
    <x:row r="160">
      <x:c r="A160" s="7" t="str">
        <x:v>C.3.1-005</x:v>
      </x:c>
      <x:c r="B160" s="7" t="str">
        <x:v>Component 3 - Content and Site Architecture</x:v>
      </x:c>
      <x:c r="C160" s="7" t="str">
        <x:v>C.3.1 Sitemap</x:v>
      </x:c>
      <x:c r="D160" s="7" t="n">
        <x:v>5</x:v>
      </x:c>
      <x:c r="E160" s="7" t="str">
        <x:v>Does the Government Website have a “Directorates” page?</x:v>
      </x:c>
      <x:c r="F160" s="7" t="str">
        <x:v>Uploaded: gws_checklist_2019-modee-v6.0-en-1.pdf</x:v>
      </x:c>
      <x:c r="G160" s="7" t="str">
        <x:v>Not checked</x:v>
      </x:c>
      <x:c r="H160" s="7" t="str"/>
      <x:c r="I160" s="7" t="str"/>
      <x:c r="J160" s="7" t="str"/>
      <x:c r="K160" s="7" t="str"/>
    </x:row>
    <x:row r="161">
      <x:c r="A161" s="7" t="str">
        <x:v>C.3.1-006</x:v>
      </x:c>
      <x:c r="B161" s="7" t="str">
        <x:v>Component 3 - Content and Site Architecture</x:v>
      </x:c>
      <x:c r="C161" s="7" t="str">
        <x:v>C.3.1 Sitemap</x:v>
      </x:c>
      <x:c r="D161" s="7" t="n">
        <x:v>6</x:v>
      </x:c>
      <x:c r="E161" s="7" t="str">
        <x:v>Does the Government Website have a “Ministers” page?</x:v>
      </x:c>
      <x:c r="F161" s="7" t="str">
        <x:v>Uploaded: gws_checklist_2019-modee-v6.0-en-1.pdf</x:v>
      </x:c>
      <x:c r="G161" s="7" t="str">
        <x:v>Not checked</x:v>
      </x:c>
      <x:c r="H161" s="7" t="str"/>
      <x:c r="I161" s="7" t="str"/>
      <x:c r="J161" s="7" t="str"/>
      <x:c r="K161" s="7" t="str"/>
    </x:row>
    <x:row r="162">
      <x:c r="A162" s="7" t="str">
        <x:v>C.3.1-007</x:v>
      </x:c>
      <x:c r="B162" s="7" t="str">
        <x:v>Component 3 - Content and Site Architecture</x:v>
      </x:c>
      <x:c r="C162" s="7" t="str">
        <x:v>C.3.1 Sitemap</x:v>
      </x:c>
      <x:c r="D162" s="7" t="n">
        <x:v>7</x:v>
      </x:c>
      <x:c r="E162" s="7" t="str">
        <x:v>Does the Government Website have a “General Secretaries” page?</x:v>
      </x:c>
      <x:c r="F162" s="7" t="str">
        <x:v>Uploaded: gws_checklist_2019-modee-v6.0-en-1.pdf</x:v>
      </x:c>
      <x:c r="G162" s="7" t="str">
        <x:v>Not checked</x:v>
      </x:c>
      <x:c r="H162" s="7" t="str"/>
      <x:c r="I162" s="7" t="str"/>
      <x:c r="J162" s="7" t="str"/>
      <x:c r="K162" s="7" t="str"/>
    </x:row>
    <x:row r="163">
      <x:c r="A163" s="7" t="str">
        <x:v>C.3.1-008</x:v>
      </x:c>
      <x:c r="B163" s="7" t="str">
        <x:v>Component 3 - Content and Site Architecture</x:v>
      </x:c>
      <x:c r="C163" s="7" t="str">
        <x:v>C.3.1 Sitemap</x:v>
      </x:c>
      <x:c r="D163" s="7" t="n">
        <x:v>8</x:v>
      </x:c>
      <x:c r="E163" s="7" t="str">
        <x:v>Does the Government Website have a “Service Guide” page?</x:v>
      </x:c>
      <x:c r="F163" s="7" t="str">
        <x:v>Uploaded: gws_checklist_2019-modee-v6.0-en-1.pdf</x:v>
      </x:c>
      <x:c r="G163" s="7" t="str">
        <x:v>Not checked</x:v>
      </x:c>
      <x:c r="H163" s="7" t="str"/>
      <x:c r="I163" s="7" t="str"/>
      <x:c r="J163" s="7" t="str"/>
      <x:c r="K163" s="7" t="str"/>
    </x:row>
    <x:row r="164">
      <x:c r="A164" s="7" t="str">
        <x:v>C.3.1-009</x:v>
      </x:c>
      <x:c r="B164" s="7" t="str">
        <x:v>Component 3 - Content and Site Architecture</x:v>
      </x:c>
      <x:c r="C164" s="7" t="str">
        <x:v>C.3.1 Sitemap</x:v>
      </x:c>
      <x:c r="D164" s="7" t="n">
        <x:v>9</x:v>
      </x:c>
      <x:c r="E164" s="7" t="str">
        <x:v>Does the Government Website have a “Services” page?</x:v>
      </x:c>
      <x:c r="F164" s="7" t="str">
        <x:v>Uploaded: gws_checklist_2019-modee-v6.0-en-1.pdf</x:v>
      </x:c>
      <x:c r="G164" s="7" t="str">
        <x:v>Not checked</x:v>
      </x:c>
      <x:c r="H164" s="7" t="str"/>
      <x:c r="I164" s="7" t="str"/>
      <x:c r="J164" s="7" t="str"/>
      <x:c r="K164" s="7" t="str"/>
    </x:row>
    <x:row r="165">
      <x:c r="A165" s="7" t="str">
        <x:v>C.3.1-010</x:v>
      </x:c>
      <x:c r="B165" s="7" t="str">
        <x:v>Component 3 - Content and Site Architecture</x:v>
      </x:c>
      <x:c r="C165" s="7" t="str">
        <x:v>C.3.1 Sitemap</x:v>
      </x:c>
      <x:c r="D165" s="7" t="n">
        <x:v>10</x:v>
      </x:c>
      <x:c r="E165" s="7" t="str">
        <x:v>Does the Government Website have a “Forms Guide” page?</x:v>
      </x:c>
      <x:c r="F165" s="7" t="str">
        <x:v>Uploaded: gws_checklist_2019-modee-v6.0-en-1.pdf</x:v>
      </x:c>
      <x:c r="G165" s="7" t="str">
        <x:v>Not checked</x:v>
      </x:c>
      <x:c r="H165" s="7" t="str"/>
      <x:c r="I165" s="7" t="str"/>
      <x:c r="J165" s="7" t="str"/>
      <x:c r="K165" s="7" t="str"/>
    </x:row>
    <x:row r="166">
      <x:c r="A166" s="7" t="str">
        <x:v>C.3.1-011</x:v>
      </x:c>
      <x:c r="B166" s="7" t="str">
        <x:v>Component 3 - Content and Site Architecture</x:v>
      </x:c>
      <x:c r="C166" s="7" t="str">
        <x:v>C.3.1 Sitemap</x:v>
      </x:c>
      <x:c r="D166" s="7" t="n">
        <x:v>11</x:v>
      </x:c>
      <x:c r="E166" s="7" t="str">
        <x:v>Does the Government Website have an “Entity News” page?</x:v>
      </x:c>
      <x:c r="F166" s="7" t="str">
        <x:v>Uploaded: gws_checklist_2019-modee-v6.0-en-1.pdf</x:v>
      </x:c>
      <x:c r="G166" s="7" t="str">
        <x:v>Not checked</x:v>
      </x:c>
      <x:c r="H166" s="7" t="str"/>
      <x:c r="I166" s="7" t="str"/>
      <x:c r="J166" s="7" t="str"/>
      <x:c r="K166" s="7" t="str"/>
    </x:row>
    <x:row r="167">
      <x:c r="A167" s="7" t="str">
        <x:v>C.3.1-012</x:v>
      </x:c>
      <x:c r="B167" s="7" t="str">
        <x:v>Component 3 - Content and Site Architecture</x:v>
      </x:c>
      <x:c r="C167" s="7" t="str">
        <x:v>C.3.1 Sitemap</x:v>
      </x:c>
      <x:c r="D167" s="7" t="n">
        <x:v>12</x:v>
      </x:c>
      <x:c r="E167" s="7" t="str">
        <x:v>Does the Government Website have an “Annual reports page”?</x:v>
      </x:c>
      <x:c r="F167" s="7" t="str">
        <x:v>Uploaded: gws_checklist_2019-modee-v6.0-en-1.pdf</x:v>
      </x:c>
      <x:c r="G167" s="7" t="str">
        <x:v>Not checked</x:v>
      </x:c>
      <x:c r="H167" s="7" t="str"/>
      <x:c r="I167" s="7" t="str"/>
      <x:c r="J167" s="7" t="str"/>
      <x:c r="K167" s="7" t="str"/>
    </x:row>
    <x:row r="168">
      <x:c r="A168" s="7" t="str">
        <x:v>C.3.1-013</x:v>
      </x:c>
      <x:c r="B168" s="7" t="str">
        <x:v>Component 3 - Content and Site Architecture</x:v>
      </x:c>
      <x:c r="C168" s="7" t="str">
        <x:v>C.3.1 Sitemap</x:v>
      </x:c>
      <x:c r="D168" s="7" t="n">
        <x:v>13</x:v>
      </x:c>
      <x:c r="E168" s="7" t="str">
        <x:v>Does the Government Website have a “Contact Us” page?</x:v>
      </x:c>
      <x:c r="F168" s="7" t="str">
        <x:v>Uploaded: gws_checklist_2019-modee-v6.0-en-1.pdf</x:v>
      </x:c>
      <x:c r="G168" s="7" t="str">
        <x:v>Not checked</x:v>
      </x:c>
      <x:c r="H168" s="7" t="str"/>
      <x:c r="I168" s="7" t="str"/>
      <x:c r="J168" s="7" t="str"/>
      <x:c r="K168" s="7" t="str"/>
    </x:row>
    <x:row r="169">
      <x:c r="A169" s="7" t="str">
        <x:v>C.3.1-014</x:v>
      </x:c>
      <x:c r="B169" s="7" t="str">
        <x:v>Component 3 - Content and Site Architecture</x:v>
      </x:c>
      <x:c r="C169" s="7" t="str">
        <x:v>C.3.1 Sitemap</x:v>
      </x:c>
      <x:c r="D169" s="7" t="n">
        <x:v>14</x:v>
      </x:c>
      <x:c r="E169" s="7" t="str">
        <x:v>Does the Government Website have a “Useful Links” page?</x:v>
      </x:c>
      <x:c r="F169" s="7" t="str">
        <x:v>Uploaded: gws_checklist_2019-modee-v6.0-en-1.pdf</x:v>
      </x:c>
      <x:c r="G169" s="7" t="str">
        <x:v>Not checked</x:v>
      </x:c>
      <x:c r="H169" s="7" t="str"/>
      <x:c r="I169" s="7" t="str"/>
      <x:c r="J169" s="7" t="str"/>
      <x:c r="K169" s="7" t="str"/>
    </x:row>
    <x:row r="170">
      <x:c r="A170" s="7" t="str">
        <x:v>C.3.1-015</x:v>
      </x:c>
      <x:c r="B170" s="7" t="str">
        <x:v>Component 3 - Content and Site Architecture</x:v>
      </x:c>
      <x:c r="C170" s="7" t="str">
        <x:v>C.3.1 Sitemap</x:v>
      </x:c>
      <x:c r="D170" s="7" t="n">
        <x:v>15</x:v>
      </x:c>
      <x:c r="E170" s="7" t="str">
        <x:v>Does the Government Website have an “FAQ” page?</x:v>
      </x:c>
      <x:c r="F170" s="7" t="str">
        <x:v>Uploaded: gws_checklist_2019-modee-v6.0-en-1.pdf</x:v>
      </x:c>
      <x:c r="G170" s="7" t="str">
        <x:v>Not checked</x:v>
      </x:c>
      <x:c r="H170" s="7" t="str"/>
      <x:c r="I170" s="7" t="str"/>
      <x:c r="J170" s="7" t="str"/>
      <x:c r="K170" s="7" t="str"/>
    </x:row>
    <x:row r="171">
      <x:c r="A171" s="7" t="str">
        <x:v>C.3.2-016</x:v>
      </x:c>
      <x:c r="B171" s="7" t="str">
        <x:v>Component 3 - Content and Site Architecture</x:v>
      </x:c>
      <x:c r="C171" s="7" t="str">
        <x:v>C.3.2 Site Pages</x:v>
      </x:c>
      <x:c r="D171" s="7" t="n">
        <x:v>16</x:v>
      </x:c>
      <x:c r="E171" s="7" t="str">
        <x:v>Is there a clear delineation in web-content?</x:v>
      </x:c>
      <x:c r="F171" s="7" t="str">
        <x:v>Uploaded: gws_checklist_2019-modee-v6.0-en-1.pdf</x:v>
      </x:c>
      <x:c r="G171" s="7" t="str">
        <x:v>Not checked</x:v>
      </x:c>
      <x:c r="H171" s="7" t="str"/>
      <x:c r="I171" s="7" t="str"/>
      <x:c r="J171" s="7" t="str"/>
      <x:c r="K171" s="7" t="str"/>
    </x:row>
    <x:row r="172">
      <x:c r="A172" s="7" t="str">
        <x:v>C.3.2-017</x:v>
      </x:c>
      <x:c r="B172" s="7" t="str">
        <x:v>Component 3 - Content and Site Architecture</x:v>
      </x:c>
      <x:c r="C172" s="7" t="str">
        <x:v>C.3.2 Site Pages</x:v>
      </x:c>
      <x:c r="D172" s="7" t="n">
        <x:v>17</x:v>
      </x:c>
      <x:c r="E172" s="7" t="str">
        <x:v>Do informative pages contain Page Titles?</x:v>
      </x:c>
      <x:c r="F172" s="7" t="str">
        <x:v>Uploaded: gws_checklist_2019-modee-v6.0-en-1.pdf</x:v>
      </x:c>
      <x:c r="G172" s="7" t="str">
        <x:v>Not checked</x:v>
      </x:c>
      <x:c r="H172" s="7" t="str"/>
      <x:c r="I172" s="7" t="str"/>
      <x:c r="J172" s="7" t="str"/>
      <x:c r="K172" s="7" t="str"/>
    </x:row>
    <x:row r="173">
      <x:c r="A173" s="7" t="str">
        <x:v>C.3.2-018</x:v>
      </x:c>
      <x:c r="B173" s="7" t="str">
        <x:v>Component 3 - Content and Site Architecture</x:v>
      </x:c>
      <x:c r="C173" s="7" t="str">
        <x:v>C.3.2 Site Pages</x:v>
      </x:c>
      <x:c r="D173" s="7" t="n">
        <x:v>18</x:v>
      </x:c>
      <x:c r="E173" s="7" t="str">
        <x:v>Do informative pages contain Headings?</x:v>
      </x:c>
      <x:c r="F173" s="7" t="str">
        <x:v>Uploaded: gws_checklist_2019-modee-v6.0-en-1.pdf</x:v>
      </x:c>
      <x:c r="G173" s="7" t="str">
        <x:v>Not checked</x:v>
      </x:c>
      <x:c r="H173" s="7" t="str"/>
      <x:c r="I173" s="7" t="str"/>
      <x:c r="J173" s="7" t="str"/>
      <x:c r="K173" s="7" t="str"/>
    </x:row>
    <x:row r="174">
      <x:c r="A174" s="7" t="str">
        <x:v>C.3.2-019</x:v>
      </x:c>
      <x:c r="B174" s="7" t="str">
        <x:v>Component 3 - Content and Site Architecture</x:v>
      </x:c>
      <x:c r="C174" s="7" t="str">
        <x:v>C.3.2 Site Pages</x:v>
      </x:c>
      <x:c r="D174" s="7" t="n">
        <x:v>19</x:v>
      </x:c>
      <x:c r="E174" s="7" t="str">
        <x:v>Do informative pages contain Headlines?</x:v>
      </x:c>
      <x:c r="F174" s="7" t="str">
        <x:v>Uploaded: gws_checklist_2019-modee-v6.0-en-1.pdf</x:v>
      </x:c>
      <x:c r="G174" s="7" t="str">
        <x:v>Not checked</x:v>
      </x:c>
      <x:c r="H174" s="7" t="str"/>
      <x:c r="I174" s="7" t="str"/>
      <x:c r="J174" s="7" t="str"/>
      <x:c r="K174" s="7" t="str"/>
    </x:row>
    <x:row r="175">
      <x:c r="A175" s="7" t="str">
        <x:v>C.3.2-020</x:v>
      </x:c>
      <x:c r="B175" s="7" t="str">
        <x:v>Component 3 - Content and Site Architecture</x:v>
      </x:c>
      <x:c r="C175" s="7" t="str">
        <x:v>C.3.2 Site Pages</x:v>
      </x:c>
      <x:c r="D175" s="7" t="n">
        <x:v>20</x:v>
      </x:c>
      <x:c r="E175" s="7" t="str">
        <x:v>Do informative pages contain Content?</x:v>
      </x:c>
      <x:c r="F175" s="7" t="str">
        <x:v>Uploaded: gws_checklist_2019-modee-v6.0-en-1.pdf</x:v>
      </x:c>
      <x:c r="G175" s="7" t="str">
        <x:v>Not checked</x:v>
      </x:c>
      <x:c r="H175" s="7" t="str"/>
      <x:c r="I175" s="7" t="str"/>
      <x:c r="J175" s="7" t="str"/>
      <x:c r="K175" s="7" t="str"/>
    </x:row>
    <x:row r="176">
      <x:c r="A176" s="7" t="str">
        <x:v>C.3.2-021</x:v>
      </x:c>
      <x:c r="B176" s="7" t="str">
        <x:v>Component 3 - Content and Site Architecture</x:v>
      </x:c>
      <x:c r="C176" s="7" t="str">
        <x:v>C.3.2 Site Pages</x:v>
      </x:c>
      <x:c r="D176" s="7" t="n">
        <x:v>21</x:v>
      </x:c>
      <x:c r="E176" s="7" t="str">
        <x:v>Do pages titles properly describe the webpage content? For example, About Us, Contact Us, Organization Structure, etc.</x:v>
      </x:c>
      <x:c r="F176" s="7" t="str">
        <x:v>Uploaded: gws_checklist_2019-modee-v6.0-en-1.pdf</x:v>
      </x:c>
      <x:c r="G176" s="7" t="str">
        <x:v>Not checked</x:v>
      </x:c>
      <x:c r="H176" s="7" t="str"/>
      <x:c r="I176" s="7" t="str"/>
      <x:c r="J176" s="7" t="str"/>
      <x:c r="K176" s="7" t="str"/>
    </x:row>
    <x:row r="177">
      <x:c r="A177" s="7" t="str">
        <x:v>C.3.2-022</x:v>
      </x:c>
      <x:c r="B177" s="7" t="str">
        <x:v>Component 3 - Content and Site Architecture</x:v>
      </x:c>
      <x:c r="C177" s="7" t="str">
        <x:v>C.3.2 Site Pages</x:v>
      </x:c>
      <x:c r="D177" s="7" t="n">
        <x:v>22</x:v>
      </x:c>
      <x:c r="E177" s="7" t="str">
        <x:v>Does the page title match the tab title?</x:v>
      </x:c>
      <x:c r="F177" s="7" t="str">
        <x:v>Uploaded: gws_checklist_2019-modee-v6.0-en-1.pdf</x:v>
      </x:c>
      <x:c r="G177" s="7" t="str">
        <x:v>Not checked</x:v>
      </x:c>
      <x:c r="H177" s="7" t="str"/>
      <x:c r="I177" s="7" t="str"/>
      <x:c r="J177" s="7" t="str"/>
      <x:c r="K177" s="7" t="str"/>
    </x:row>
    <x:row r="178">
      <x:c r="A178" s="7" t="str">
        <x:v>C.3.2-023</x:v>
      </x:c>
      <x:c r="B178" s="7" t="str">
        <x:v>Component 3 - Content and Site Architecture</x:v>
      </x:c>
      <x:c r="C178" s="7" t="str">
        <x:v>C.3.2 Site Pages</x:v>
      </x:c>
      <x:c r="D178" s="7" t="n">
        <x:v>23</x:v>
      </x:c>
      <x:c r="E178" s="7" t="str">
        <x:v>Is the tab title formatted as “Page Title – Website name “. For example, About Us - Ministry of Digital Transformation Entrepreneurship, .‫عن الوزارة – وزارة االقتصاد الرقمي والريادة‬</x:v>
      </x:c>
      <x:c r="F178" s="7" t="str">
        <x:v>Uploaded: gws_checklist_2019-modee-v6.0-en-1.pdf</x:v>
      </x:c>
      <x:c r="G178" s="7" t="str">
        <x:v>Not checked</x:v>
      </x:c>
      <x:c r="H178" s="7" t="str"/>
      <x:c r="I178" s="7" t="str"/>
      <x:c r="J178" s="7" t="str"/>
      <x:c r="K178" s="7" t="str"/>
    </x:row>
    <x:row r="179">
      <x:c r="A179" s="7" t="str">
        <x:v>C.3.2-024</x:v>
      </x:c>
      <x:c r="B179" s="7" t="str">
        <x:v>Component 3 - Content and Site Architecture</x:v>
      </x:c>
      <x:c r="C179" s="7" t="str">
        <x:v>C.3.2 Site Pages</x:v>
      </x:c>
      <x:c r="D179" s="7" t="n">
        <x:v>24</x:v>
      </x:c>
      <x:c r="E179" s="7" t="str">
        <x:v>Does the heading describe the overall point of the page content?</x:v>
      </x:c>
      <x:c r="F179" s="7" t="str">
        <x:v>Uploaded: gws_checklist_2019-modee-v6.0-en-1.pdf</x:v>
      </x:c>
      <x:c r="G179" s="7" t="str">
        <x:v>Not checked</x:v>
      </x:c>
      <x:c r="H179" s="7" t="str"/>
      <x:c r="I179" s="7" t="str"/>
      <x:c r="J179" s="7" t="str"/>
      <x:c r="K179" s="7" t="str"/>
    </x:row>
    <x:row r="180">
      <x:c r="A180" s="7" t="str">
        <x:v>C.3.2-025</x:v>
      </x:c>
      <x:c r="B180" s="7" t="str">
        <x:v>Component 3 - Content and Site Architecture</x:v>
      </x:c>
      <x:c r="C180" s="7" t="str">
        <x:v>C.3.2 Site Pages</x:v>
      </x:c>
      <x:c r="D180" s="7" t="n">
        <x:v>25</x:v>
      </x:c>
      <x:c r="E180" s="7" t="str">
        <x:v>Does each page contain one heading only?</x:v>
      </x:c>
      <x:c r="F180" s="7" t="str">
        <x:v>Uploaded: gws_checklist_2019-modee-v6.0-en-1.pdf</x:v>
      </x:c>
      <x:c r="G180" s="7" t="str">
        <x:v>Not checked</x:v>
      </x:c>
      <x:c r="H180" s="7" t="str"/>
      <x:c r="I180" s="7" t="str"/>
      <x:c r="J180" s="7" t="str"/>
      <x:c r="K180" s="7" t="str"/>
    </x:row>
    <x:row r="181">
      <x:c r="A181" s="7" t="str">
        <x:v>C.3.2-026</x:v>
      </x:c>
      <x:c r="B181" s="7" t="str">
        <x:v>Component 3 - Content and Site Architecture</x:v>
      </x:c>
      <x:c r="C181" s="7" t="str">
        <x:v>C.3.2 Site Pages</x:v>
      </x:c>
      <x:c r="D181" s="7" t="n">
        <x:v>26</x:v>
      </x:c>
      <x:c r="E181" s="7" t="str">
        <x:v>Are headings kept short, consisting of a maximum of 10 words?</x:v>
      </x:c>
      <x:c r="F181" s="7" t="str">
        <x:v>Uploaded: gws_checklist_2019-modee-v6.0-en-1.pdf</x:v>
      </x:c>
      <x:c r="G181" s="7" t="str">
        <x:v>Not checked</x:v>
      </x:c>
      <x:c r="H181" s="7" t="str"/>
      <x:c r="I181" s="7" t="str"/>
      <x:c r="J181" s="7" t="str"/>
      <x:c r="K181" s="7" t="str"/>
    </x:row>
    <x:row r="182">
      <x:c r="A182" s="7" t="str">
        <x:v>C.3.2-027</x:v>
      </x:c>
      <x:c r="B182" s="7" t="str">
        <x:v>Component 3 - Content and Site Architecture</x:v>
      </x:c>
      <x:c r="C182" s="7" t="str">
        <x:v>C.3.2 Site Pages</x:v>
      </x:c>
      <x:c r="D182" s="7" t="n">
        <x:v>27</x:v>
      </x:c>
      <x:c r="E182" s="7" t="str">
        <x:v>Are headlines meaningful, describing the upcoming part of the content?</x:v>
      </x:c>
      <x:c r="F182" s="7" t="str">
        <x:v>Uploaded: gws_checklist_2019-modee-v6.0-en-1.pdf</x:v>
      </x:c>
      <x:c r="G182" s="7" t="str">
        <x:v>Not checked</x:v>
      </x:c>
      <x:c r="H182" s="7" t="str"/>
      <x:c r="I182" s="7" t="str"/>
      <x:c r="J182" s="7" t="str"/>
      <x:c r="K182" s="7" t="str"/>
    </x:row>
    <x:row r="183">
      <x:c r="A183" s="7" t="str">
        <x:v>C.3.2-028</x:v>
      </x:c>
      <x:c r="B183" s="7" t="str">
        <x:v>Component 3 - Content and Site Architecture</x:v>
      </x:c>
      <x:c r="C183" s="7" t="str">
        <x:v>C.3.2 Site Pages</x:v>
      </x:c>
      <x:c r="D183" s="7" t="n">
        <x:v>28</x:v>
      </x:c>
      <x:c r="E183" s="7" t="str">
        <x:v>Are English headlines capitalized?</x:v>
      </x:c>
      <x:c r="F183" s="7" t="str">
        <x:v>Uploaded: gws_checklist_2019-modee-v6.0-en-1.pdf</x:v>
      </x:c>
      <x:c r="G183" s="7" t="str">
        <x:v>Not checked</x:v>
      </x:c>
      <x:c r="H183" s="7" t="str"/>
      <x:c r="I183" s="7" t="str"/>
      <x:c r="J183" s="7" t="str"/>
      <x:c r="K183" s="7" t="str"/>
    </x:row>
    <x:row r="184">
      <x:c r="A184" s="7" t="str">
        <x:v>C.3.2-029</x:v>
      </x:c>
      <x:c r="B184" s="7" t="str">
        <x:v>Component 3 - Content and Site Architecture</x:v>
      </x:c>
      <x:c r="C184" s="7" t="str">
        <x:v>C.3.2 Site Pages</x:v>
      </x:c>
      <x:c r="D184" s="7" t="n">
        <x:v>29</x:v>
      </x:c>
      <x:c r="E184" s="7" t="str">
        <x:v>Does the website describe the main point of the article in details?</x:v>
      </x:c>
      <x:c r="F184" s="7" t="str">
        <x:v>Uploaded: gws_checklist_2019-modee-v6.0-en-1.pdf</x:v>
      </x:c>
      <x:c r="G184" s="7" t="str">
        <x:v>Not checked</x:v>
      </x:c>
      <x:c r="H184" s="7" t="str"/>
      <x:c r="I184" s="7" t="str"/>
      <x:c r="J184" s="7" t="str"/>
      <x:c r="K184" s="7" t="str"/>
    </x:row>
    <x:row r="185">
      <x:c r="A185" s="7" t="str">
        <x:v>C.3.2-030</x:v>
      </x:c>
      <x:c r="B185" s="7" t="str">
        <x:v>Component 3 - Content and Site Architecture</x:v>
      </x:c>
      <x:c r="C185" s="7" t="str">
        <x:v>C.3.2 Site Pages</x:v>
      </x:c>
      <x:c r="D185" s="7" t="n">
        <x:v>30</x:v>
      </x:c>
      <x:c r="E185" s="7" t="str">
        <x:v>Does the website start with a conclusion?</x:v>
      </x:c>
      <x:c r="F185" s="7" t="str">
        <x:v>Uploaded: gws_checklist_2019-modee-v6.0-en-1.pdf</x:v>
      </x:c>
      <x:c r="G185" s="7" t="str">
        <x:v>Not checked</x:v>
      </x:c>
      <x:c r="H185" s="7" t="str"/>
      <x:c r="I185" s="7" t="str"/>
      <x:c r="J185" s="7" t="str"/>
      <x:c r="K185" s="7" t="str"/>
    </x:row>
    <x:row r="186">
      <x:c r="A186" s="7" t="str">
        <x:v>C.3.2-031</x:v>
      </x:c>
      <x:c r="B186" s="7" t="str">
        <x:v>Component 3 - Content and Site Architecture</x:v>
      </x:c>
      <x:c r="C186" s="7" t="str">
        <x:v>C.3.2 Site Pages</x:v>
      </x:c>
      <x:c r="D186" s="7" t="n">
        <x:v>31</x:v>
      </x:c>
      <x:c r="E186" s="7" t="str">
        <x:v>Are paragraph lines separated by 1.5 px to 3.0 px space?</x:v>
      </x:c>
      <x:c r="F186" s="7" t="str">
        <x:v>Uploaded: gws_checklist_2019-modee-v6.0-en-1.pdf</x:v>
      </x:c>
      <x:c r="G186" s="7" t="str">
        <x:v>Not checked</x:v>
      </x:c>
      <x:c r="H186" s="7" t="str"/>
      <x:c r="I186" s="7" t="str"/>
      <x:c r="J186" s="7" t="str"/>
      <x:c r="K186" s="7" t="str"/>
    </x:row>
    <x:row r="187">
      <x:c r="A187" s="7" t="str">
        <x:v>C.3.2-032</x:v>
      </x:c>
      <x:c r="B187" s="7" t="str">
        <x:v>Component 3 - Content and Site Architecture</x:v>
      </x:c>
      <x:c r="C187" s="7" t="str">
        <x:v>C.3.2 Site Pages</x:v>
      </x:c>
      <x:c r="D187" s="7" t="n">
        <x:v>32</x:v>
      </x:c>
      <x:c r="E187" s="7" t="str">
        <x:v>Are different paragraphs separated by 3.0 px to 5.0 px space?</x:v>
      </x:c>
      <x:c r="F187" s="7" t="str">
        <x:v>Uploaded: gws_checklist_2019-modee-v6.0-en-1.pdf</x:v>
      </x:c>
      <x:c r="G187" s="7" t="str">
        <x:v>Not checked</x:v>
      </x:c>
      <x:c r="H187" s="7" t="str"/>
      <x:c r="I187" s="7" t="str"/>
      <x:c r="J187" s="7" t="str"/>
      <x:c r="K187" s="7" t="str"/>
    </x:row>
    <x:row r="188">
      <x:c r="A188" s="7" t="str">
        <x:v>C.3.2-033</x:v>
      </x:c>
      <x:c r="B188" s="7" t="str">
        <x:v>Component 3 - Content and Site Architecture</x:v>
      </x:c>
      <x:c r="C188" s="7" t="str">
        <x:v>C.3.2 Site Pages</x:v>
      </x:c>
      <x:c r="D188" s="7" t="n">
        <x:v>33</x:v>
      </x:c>
      <x:c r="E188" s="7" t="str">
        <x:v>Is the text aligned based on the language; left to right for English content and right to left for Arabic content?</x:v>
      </x:c>
      <x:c r="F188" s="7" t="str">
        <x:v>Uploaded: gws_checklist_2019-modee-v6.0-en-1.pdf</x:v>
      </x:c>
      <x:c r="G188" s="7" t="str">
        <x:v>Not checked</x:v>
      </x:c>
      <x:c r="H188" s="7" t="str"/>
      <x:c r="I188" s="7" t="str"/>
      <x:c r="J188" s="7" t="str"/>
      <x:c r="K188" s="7" t="str"/>
    </x:row>
    <x:row r="189">
      <x:c r="A189" s="7" t="str">
        <x:v>C.3.2-034</x:v>
      </x:c>
      <x:c r="B189" s="7" t="str">
        <x:v>Component 3 - Content and Site Architecture</x:v>
      </x:c>
      <x:c r="C189" s="7" t="str">
        <x:v>C.3.2 Site Pages</x:v>
      </x:c>
      <x:c r="D189" s="7" t="n">
        <x:v>34</x:v>
      </x:c>
      <x:c r="E189" s="7" t="str">
        <x:v>Are Italic and Underline text styles avoided?</x:v>
      </x:c>
      <x:c r="F189" s="7" t="str">
        <x:v>Uploaded: gws_checklist_2019-modee-v6.0-en-1.pdf</x:v>
      </x:c>
      <x:c r="G189" s="7" t="str">
        <x:v>Not checked</x:v>
      </x:c>
      <x:c r="H189" s="7" t="str"/>
      <x:c r="I189" s="7" t="str"/>
      <x:c r="J189" s="7" t="str"/>
      <x:c r="K189" s="7" t="str"/>
    </x:row>
    <x:row r="190">
      <x:c r="A190" s="7" t="str">
        <x:v>C.3.2-035</x:v>
      </x:c>
      <x:c r="B190" s="7" t="str">
        <x:v>Component 3 - Content and Site Architecture</x:v>
      </x:c>
      <x:c r="C190" s="7" t="str">
        <x:v>C.3.2 Site Pages</x:v>
      </x:c>
      <x:c r="D190" s="7" t="n">
        <x:v>35</x:v>
      </x:c>
      <x:c r="E190" s="7" t="str">
        <x:v>Is Information presented as if it is from a third-party? For example, “The Ministry of Digital Economics will manage the process”, instead of “we will manage the process”.</x:v>
      </x:c>
      <x:c r="F190" s="7" t="str">
        <x:v>Uploaded: gws_checklist_2019-modee-v6.0-en-1.pdf</x:v>
      </x:c>
      <x:c r="G190" s="7" t="str">
        <x:v>Not checked</x:v>
      </x:c>
      <x:c r="H190" s="7" t="str"/>
      <x:c r="I190" s="7" t="str"/>
      <x:c r="J190" s="7" t="str"/>
      <x:c r="K190" s="7" t="str"/>
    </x:row>
    <x:row r="191">
      <x:c r="A191" s="7" t="str">
        <x:v>C.3.2-036</x:v>
      </x:c>
      <x:c r="B191" s="7" t="str">
        <x:v>Component 3 - Content and Site Architecture</x:v>
      </x:c>
      <x:c r="C191" s="7" t="str">
        <x:v>C.3.2 Site Pages</x:v>
      </x:c>
      <x:c r="D191" s="7" t="n">
        <x:v>36</x:v>
      </x:c>
      <x:c r="E191" s="7" t="str">
        <x:v>Is the content free from spelling, grammar, and wording mistakes?</x:v>
      </x:c>
      <x:c r="F191" s="7" t="str">
        <x:v>Uploaded: gws_checklist_2019-modee-v6.0-en-1.pdf</x:v>
      </x:c>
      <x:c r="G191" s="7" t="str">
        <x:v>Not checked</x:v>
      </x:c>
      <x:c r="H191" s="7" t="str"/>
      <x:c r="I191" s="7" t="str"/>
      <x:c r="J191" s="7" t="str"/>
      <x:c r="K191" s="7" t="str"/>
    </x:row>
    <x:row r="192">
      <x:c r="A192" s="7" t="str">
        <x:v>C.3.2-037</x:v>
      </x:c>
      <x:c r="B192" s="7" t="str">
        <x:v>Component 3 - Content and Site Architecture</x:v>
      </x:c>
      <x:c r="C192" s="7" t="str">
        <x:v>C.3.2 Site Pages</x:v>
      </x:c>
      <x:c r="D192" s="7" t="n">
        <x:v>37</x:v>
      </x:c>
      <x:c r="E192" s="7" t="str">
        <x:v>Do dates on the website follow the format dd/mm/yyyy?</x:v>
      </x:c>
      <x:c r="F192" s="7" t="str">
        <x:v>Uploaded: gws_checklist_2019-modee-v6.0-en-1.pdf</x:v>
      </x:c>
      <x:c r="G192" s="7" t="str">
        <x:v>Not checked</x:v>
      </x:c>
      <x:c r="H192" s="7" t="str"/>
      <x:c r="I192" s="7" t="str"/>
      <x:c r="J192" s="7" t="str"/>
      <x:c r="K192" s="7" t="str"/>
    </x:row>
    <x:row r="193">
      <x:c r="A193" s="7" t="str">
        <x:v>C.3.2-038</x:v>
      </x:c>
      <x:c r="B193" s="7" t="str">
        <x:v>Component 3 - Content and Site Architecture</x:v>
      </x:c>
      <x:c r="C193" s="7" t="str">
        <x:v>C.3.2 Site Pages</x:v>
      </x:c>
      <x:c r="D193" s="7" t="n">
        <x:v>38</x:v>
      </x:c>
      <x:c r="E193" s="7" t="str">
        <x:v>Do website pages provide a printer-friendly feature?</x:v>
      </x:c>
      <x:c r="F193" s="7" t="str">
        <x:v>Uploaded: gws_checklist_2019-modee-v6.0-en-1.pdf</x:v>
      </x:c>
      <x:c r="G193" s="7" t="str">
        <x:v>Not checked</x:v>
      </x:c>
      <x:c r="H193" s="7" t="str"/>
      <x:c r="I193" s="7" t="str"/>
      <x:c r="J193" s="7" t="str"/>
      <x:c r="K193" s="7" t="str"/>
    </x:row>
    <x:row r="194">
      <x:c r="A194" s="7" t="str">
        <x:v>C.3.2-039</x:v>
      </x:c>
      <x:c r="B194" s="7" t="str">
        <x:v>Component 3 - Content and Site Architecture</x:v>
      </x:c>
      <x:c r="C194" s="7" t="str">
        <x:v>C.3.2 Site Pages</x:v>
      </x:c>
      <x:c r="D194" s="7" t="n">
        <x:v>39</x:v>
      </x:c>
      <x:c r="E194" s="7" t="str">
        <x:v>Does the website provide rating for the content?</x:v>
      </x:c>
      <x:c r="F194" s="7" t="str">
        <x:v>Uploaded: gws_checklist_2019-modee-v6.0-en-1.pdf</x:v>
      </x:c>
      <x:c r="G194" s="7" t="str">
        <x:v>Not checked</x:v>
      </x:c>
      <x:c r="H194" s="7" t="str"/>
      <x:c r="I194" s="7" t="str"/>
      <x:c r="J194" s="7" t="str"/>
      <x:c r="K194" s="7" t="str"/>
    </x:row>
    <x:row r="195">
      <x:c r="A195" s="7" t="str">
        <x:v>C.3.2-040</x:v>
      </x:c>
      <x:c r="B195" s="7" t="str">
        <x:v>Component 3 - Content and Site Architecture</x:v>
      </x:c>
      <x:c r="C195" s="7" t="str">
        <x:v>C.3.2 Site Pages</x:v>
      </x:c>
      <x:c r="D195" s="7" t="n">
        <x:v>40</x:v>
      </x:c>
      <x:c r="E195" s="7" t="str">
        <x:v>Does the external link open in a new tab?</x:v>
      </x:c>
      <x:c r="F195" s="7" t="str">
        <x:v>Uploaded: gws_checklist_2019-modee-v6.0-en-1.pdf</x:v>
      </x:c>
      <x:c r="G195" s="7" t="str">
        <x:v>Not checked</x:v>
      </x:c>
      <x:c r="H195" s="7" t="str"/>
      <x:c r="I195" s="7" t="str"/>
      <x:c r="J195" s="7" t="str"/>
      <x:c r="K195" s="7" t="str"/>
    </x:row>
    <x:row r="196">
      <x:c r="A196" s="7" t="str">
        <x:v>C.3.2-041</x:v>
      </x:c>
      <x:c r="B196" s="7" t="str">
        <x:v>Component 3 - Content and Site Architecture</x:v>
      </x:c>
      <x:c r="C196" s="7" t="str">
        <x:v>C.3.2 Site Pages</x:v>
      </x:c>
      <x:c r="D196" s="7" t="n">
        <x:v>41</x:v>
      </x:c>
      <x:c r="E196" s="7" t="str">
        <x:v>Does the website provide lists? For example: List of news, list of services, list of annual reports.</x:v>
      </x:c>
      <x:c r="F196" s="7" t="str">
        <x:v>Uploaded: gws_checklist_2019-modee-v6.0-en-1.pdf</x:v>
      </x:c>
      <x:c r="G196" s="7" t="str">
        <x:v>Not checked</x:v>
      </x:c>
      <x:c r="H196" s="7" t="str"/>
      <x:c r="I196" s="7" t="str"/>
      <x:c r="J196" s="7" t="str"/>
      <x:c r="K196" s="7" t="str"/>
    </x:row>
    <x:row r="197">
      <x:c r="A197" s="7" t="str">
        <x:v>C.3.2-042</x:v>
      </x:c>
      <x:c r="B197" s="7" t="str">
        <x:v>Component 3 - Content and Site Architecture</x:v>
      </x:c>
      <x:c r="C197" s="7" t="str">
        <x:v>C.3.2 Site Pages</x:v>
      </x:c>
      <x:c r="D197" s="7" t="n">
        <x:v>42</x:v>
      </x:c>
      <x:c r="E197" s="7" t="str">
        <x:v>Are “Lists” categorized based on the visitors’ point of view?</x:v>
      </x:c>
      <x:c r="F197" s="7" t="str">
        <x:v>Uploaded: gws_checklist_2019-modee-v6.0-en-1.pdf</x:v>
      </x:c>
      <x:c r="G197" s="7" t="str">
        <x:v>Not checked</x:v>
      </x:c>
      <x:c r="H197" s="7" t="str"/>
      <x:c r="I197" s="7" t="str"/>
      <x:c r="J197" s="7" t="str"/>
      <x:c r="K197" s="7" t="str"/>
    </x:row>
    <x:row r="198">
      <x:c r="A198" s="7" t="str">
        <x:v>C.3.2-043</x:v>
      </x:c>
      <x:c r="B198" s="7" t="str">
        <x:v>Component 3 - Content and Site Architecture</x:v>
      </x:c>
      <x:c r="C198" s="7" t="str">
        <x:v>C.3.2 Site Pages</x:v>
      </x:c>
      <x:c r="D198" s="7" t="n">
        <x:v>43</x:v>
      </x:c>
      <x:c r="E198" s="7" t="str">
        <x:v>Do “Lists” that contain more than 10 items have a search functionality?</x:v>
      </x:c>
      <x:c r="F198" s="7" t="str">
        <x:v>Uploaded: gws_checklist_2019-modee-v6.0-en-1.pdf</x:v>
      </x:c>
      <x:c r="G198" s="7" t="str">
        <x:v>Not checked</x:v>
      </x:c>
      <x:c r="H198" s="7" t="str"/>
      <x:c r="I198" s="7" t="str"/>
      <x:c r="J198" s="7" t="str"/>
      <x:c r="K198" s="7" t="str"/>
    </x:row>
    <x:row r="199">
      <x:c r="A199" s="7" t="str">
        <x:v>C.3.2-044</x:v>
      </x:c>
      <x:c r="B199" s="7" t="str">
        <x:v>Component 3 - Content and Site Architecture</x:v>
      </x:c>
      <x:c r="C199" s="7" t="str">
        <x:v>C.3.2 Site Pages</x:v>
      </x:c>
      <x:c r="D199" s="7" t="n">
        <x:v>44</x:v>
      </x:c>
      <x:c r="E199" s="7" t="str">
        <x:v>Does searching in “Lists” neglect Arabic special letters?</x:v>
      </x:c>
      <x:c r="F199" s="7" t="str">
        <x:v>Uploaded: gws_checklist_2019-modee-v6.0-en-1.pdf</x:v>
      </x:c>
      <x:c r="G199" s="7" t="str">
        <x:v>Not checked</x:v>
      </x:c>
      <x:c r="H199" s="7" t="str"/>
      <x:c r="I199" s="7" t="str"/>
      <x:c r="J199" s="7" t="str"/>
      <x:c r="K199" s="7" t="str"/>
    </x:row>
    <x:row r="200">
      <x:c r="A200" s="7" t="str">
        <x:v>C.3.2-045</x:v>
      </x:c>
      <x:c r="B200" s="7" t="str">
        <x:v>Component 3 - Content and Site Architecture</x:v>
      </x:c>
      <x:c r="C200" s="7" t="str">
        <x:v>C.3.2 Site Pages</x:v>
      </x:c>
      <x:c r="D200" s="7" t="n">
        <x:v>45</x:v>
      </x:c>
      <x:c r="E200" s="7" t="str">
        <x:v>Does searching in English “Lists” satisfy case insensitivity?</x:v>
      </x:c>
      <x:c r="F200" s="7" t="str">
        <x:v>Uploaded: gws_checklist_2019-modee-v6.0-en-1.pdf</x:v>
      </x:c>
      <x:c r="G200" s="7" t="str">
        <x:v>Not checked</x:v>
      </x:c>
      <x:c r="H200" s="7" t="str"/>
      <x:c r="I200" s="7" t="str"/>
      <x:c r="J200" s="7" t="str"/>
      <x:c r="K200" s="7" t="str"/>
    </x:row>
    <x:row r="201">
      <x:c r="A201" s="7" t="str">
        <x:v>C.3.2-046</x:v>
      </x:c>
      <x:c r="B201" s="7" t="str">
        <x:v>Component 3 - Content and Site Architecture</x:v>
      </x:c>
      <x:c r="C201" s="7" t="str">
        <x:v>C.3.2 Site Pages</x:v>
      </x:c>
      <x:c r="D201" s="7" t="n">
        <x:v>46</x:v>
      </x:c>
      <x:c r="E201" s="7" t="str">
        <x:v>Are “Lists” items titled clearly?</x:v>
      </x:c>
      <x:c r="F201" s="7" t="str">
        <x:v>Uploaded: gws_checklist_2019-modee-v6.0-en-1.pdf</x:v>
      </x:c>
      <x:c r="G201" s="7" t="str">
        <x:v>Not checked</x:v>
      </x:c>
      <x:c r="H201" s="7" t="str"/>
      <x:c r="I201" s="7" t="str"/>
      <x:c r="J201" s="7" t="str"/>
      <x:c r="K201" s="7" t="str"/>
    </x:row>
    <x:row r="202">
      <x:c r="A202" s="7" t="str">
        <x:v>C.3.2-047</x:v>
      </x:c>
      <x:c r="B202" s="7" t="str">
        <x:v>Component 3 - Content and Site Architecture</x:v>
      </x:c>
      <x:c r="C202" s="7" t="str">
        <x:v>C.3.2 Site Pages</x:v>
      </x:c>
      <x:c r="D202" s="7" t="n">
        <x:v>47</x:v>
      </x:c>
      <x:c r="E202" s="7" t="str">
        <x:v>Does “List” item title consist of 70 characters at most?</x:v>
      </x:c>
      <x:c r="F202" s="7" t="str">
        <x:v>Uploaded: gws_checklist_2019-modee-v6.0-en-1.pdf</x:v>
      </x:c>
      <x:c r="G202" s="7" t="str">
        <x:v>Not checked</x:v>
      </x:c>
      <x:c r="H202" s="7" t="str"/>
      <x:c r="I202" s="7" t="str"/>
      <x:c r="J202" s="7" t="str"/>
      <x:c r="K202" s="7" t="str"/>
    </x:row>
    <x:row r="203">
      <x:c r="A203" s="7" t="str">
        <x:v>C.3.2-048</x:v>
      </x:c>
      <x:c r="B203" s="7" t="str">
        <x:v>Component 3 - Content and Site Architecture</x:v>
      </x:c>
      <x:c r="C203" s="7" t="str">
        <x:v>C.3.2 Site Pages</x:v>
      </x:c>
      <x:c r="D203" s="7" t="n">
        <x:v>48</x:v>
      </x:c>
      <x:c r="E203" s="7" t="str">
        <x:v>Does the “List” page show the whole item title?</x:v>
      </x:c>
      <x:c r="F203" s="7" t="str">
        <x:v>Uploaded: gws_checklist_2019-modee-v6.0-en-1.pdf</x:v>
      </x:c>
      <x:c r="G203" s="7" t="str">
        <x:v>Not checked</x:v>
      </x:c>
      <x:c r="H203" s="7" t="str"/>
      <x:c r="I203" s="7" t="str"/>
      <x:c r="J203" s="7" t="str"/>
      <x:c r="K203" s="7" t="str"/>
    </x:row>
    <x:row r="204">
      <x:c r="A204" s="7" t="str">
        <x:v>C.3.2-049</x:v>
      </x:c>
      <x:c r="B204" s="7" t="str">
        <x:v>Component 3 - Content and Site Architecture</x:v>
      </x:c>
      <x:c r="C204" s="7" t="str">
        <x:v>C.3.2 Site Pages</x:v>
      </x:c>
      <x:c r="D204" s="7" t="n">
        <x:v>49</x:v>
      </x:c>
      <x:c r="E204" s="7" t="str">
        <x:v>Do “Lists” items show briefs under their titles?</x:v>
      </x:c>
      <x:c r="F204" s="7" t="str">
        <x:v>Uploaded: gws_checklist_2019-modee-v6.0-en-1.pdf</x:v>
      </x:c>
      <x:c r="G204" s="7" t="str">
        <x:v>Not checked</x:v>
      </x:c>
      <x:c r="H204" s="7" t="str"/>
      <x:c r="I204" s="7" t="str"/>
      <x:c r="J204" s="7" t="str"/>
      <x:c r="K204" s="7" t="str"/>
    </x:row>
    <x:row r="205">
      <x:c r="A205" s="7" t="str">
        <x:v>C.3.2-050</x:v>
      </x:c>
      <x:c r="B205" s="7" t="str">
        <x:v>Component 3 - Content and Site Architecture</x:v>
      </x:c>
      <x:c r="C205" s="7" t="str">
        <x:v>C.3.2 Site Pages</x:v>
      </x:c>
      <x:c r="D205" s="7" t="n">
        <x:v>50</x:v>
      </x:c>
      <x:c r="E205" s="7" t="str">
        <x:v>Are details links for “Lists” items expressed using the term (view or read more)?</x:v>
      </x:c>
      <x:c r="F205" s="7" t="str">
        <x:v>Uploaded: gws_checklist_2019-modee-v6.0-en-1.pdf</x:v>
      </x:c>
      <x:c r="G205" s="7" t="str">
        <x:v>Not checked</x:v>
      </x:c>
      <x:c r="H205" s="7" t="str"/>
      <x:c r="I205" s="7" t="str"/>
      <x:c r="J205" s="7" t="str"/>
      <x:c r="K205" s="7" t="str"/>
    </x:row>
    <x:row r="206">
      <x:c r="A206" s="7" t="str">
        <x:v>C.3.2-051</x:v>
      </x:c>
      <x:c r="B206" s="7" t="str">
        <x:v>Component 3 - Content and Site Architecture</x:v>
      </x:c>
      <x:c r="C206" s="7" t="str">
        <x:v>C.3.2 Site Pages</x:v>
      </x:c>
      <x:c r="D206" s="7" t="n">
        <x:v>51</x:v>
      </x:c>
      <x:c r="E206" s="7" t="str">
        <x:v>Are “List” items sorted based on its content? For example, Priority, date, alphabetical, etc.</x:v>
      </x:c>
      <x:c r="F206" s="7" t="str">
        <x:v>Uploaded: gws_checklist_2019-modee-v6.0-en-1.pdf</x:v>
      </x:c>
      <x:c r="G206" s="7" t="str">
        <x:v>Not checked</x:v>
      </x:c>
      <x:c r="H206" s="7" t="str"/>
      <x:c r="I206" s="7" t="str"/>
      <x:c r="J206" s="7" t="str"/>
      <x:c r="K206" s="7" t="str"/>
    </x:row>
    <x:row r="207">
      <x:c r="A207" s="7" t="str">
        <x:v>C.3.2-052</x:v>
      </x:c>
      <x:c r="B207" s="7" t="str">
        <x:v>Component 3 - Content and Site Architecture</x:v>
      </x:c>
      <x:c r="C207" s="7" t="str">
        <x:v>C.3.2 Site Pages</x:v>
      </x:c>
      <x:c r="D207" s="7" t="n">
        <x:v>52</x:v>
      </x:c>
      <x:c r="E207" s="7" t="str">
        <x:v>Does the website provide a Service Guide?</x:v>
      </x:c>
      <x:c r="F207" s="7" t="str">
        <x:v>Uploaded: gws_checklist_2019-modee-v6.0-en-1.pdf</x:v>
      </x:c>
      <x:c r="G207" s="7" t="str">
        <x:v>Not checked</x:v>
      </x:c>
      <x:c r="H207" s="7" t="str"/>
      <x:c r="I207" s="7" t="str"/>
      <x:c r="J207" s="7" t="str"/>
      <x:c r="K207" s="7" t="str"/>
    </x:row>
    <x:row r="208">
      <x:c r="A208" s="7" t="str">
        <x:v>C.3.2-053</x:v>
      </x:c>
      <x:c r="B208" s="7" t="str">
        <x:v>Component 3 - Content and Site Architecture</x:v>
      </x:c>
      <x:c r="C208" s="7" t="str">
        <x:v>C.3.2 Site Pages</x:v>
      </x:c>
      <x:c r="D208" s="7" t="n">
        <x:v>53</x:v>
      </x:c>
      <x:c r="E208" s="7" t="str">
        <x:v>Are services in the Service Guide categorized based on the site visitors’ point of view? For example, categorized in terms of service type, not in terms of the department that provides the service.</x:v>
      </x:c>
      <x:c r="F208" s="7" t="str">
        <x:v>Uploaded: gws_checklist_2019-modee-v6.0-en-1.pdf</x:v>
      </x:c>
      <x:c r="G208" s="7" t="str">
        <x:v>Not checked</x:v>
      </x:c>
      <x:c r="H208" s="7" t="str"/>
      <x:c r="I208" s="7" t="str"/>
      <x:c r="J208" s="7" t="str"/>
      <x:c r="K208" s="7" t="str"/>
    </x:row>
    <x:row r="209">
      <x:c r="A209" s="7" t="str">
        <x:v>C.3.2-054</x:v>
      </x:c>
      <x:c r="B209" s="7" t="str">
        <x:v>Component 3 - Content and Site Architecture</x:v>
      </x:c>
      <x:c r="C209" s="7" t="str">
        <x:v>C.3.2 Site Pages</x:v>
      </x:c>
      <x:c r="D209" s="7" t="n">
        <x:v>54</x:v>
      </x:c>
      <x:c r="E209" s="7" t="str">
        <x:v>Does the Service Guide support search functionality in case the list contains more than 10 services?</x:v>
      </x:c>
      <x:c r="F209" s="7" t="str">
        <x:v>Uploaded: gws_checklist_2019-modee-v6.0-en-1.pdf</x:v>
      </x:c>
      <x:c r="G209" s="7" t="str">
        <x:v>Not checked</x:v>
      </x:c>
      <x:c r="H209" s="7" t="str"/>
      <x:c r="I209" s="7" t="str"/>
      <x:c r="J209" s="7" t="str"/>
      <x:c r="K209" s="7" t="str"/>
    </x:row>
    <x:row r="210">
      <x:c r="A210" s="7" t="str">
        <x:v>C.3.2-055</x:v>
      </x:c>
      <x:c r="B210" s="7" t="str">
        <x:v>Component 3 - Content and Site Architecture</x:v>
      </x:c>
      <x:c r="C210" s="7" t="str">
        <x:v>C.3.2 Site Pages</x:v>
      </x:c>
      <x:c r="D210" s="7" t="n">
        <x:v>55</x:v>
      </x:c>
      <x:c r="E210" s="7" t="str">
        <x:v>Does searching in the Service Guide neglect Arabic special letters?</x:v>
      </x:c>
      <x:c r="F210" s="7" t="str">
        <x:v>Uploaded: gws_checklist_2019-modee-v6.0-en-1.pdf</x:v>
      </x:c>
      <x:c r="G210" s="7" t="str">
        <x:v>Not checked</x:v>
      </x:c>
      <x:c r="H210" s="7" t="str"/>
      <x:c r="I210" s="7" t="str"/>
      <x:c r="J210" s="7" t="str"/>
      <x:c r="K210" s="7" t="str"/>
    </x:row>
    <x:row r="211">
      <x:c r="A211" s="7" t="str">
        <x:v>C.3.2-056</x:v>
      </x:c>
      <x:c r="B211" s="7" t="str">
        <x:v>Component 3 - Content and Site Architecture</x:v>
      </x:c>
      <x:c r="C211" s="7" t="str">
        <x:v>C.3.2 Site Pages</x:v>
      </x:c>
      <x:c r="D211" s="7" t="n">
        <x:v>56</x:v>
      </x:c>
      <x:c r="E211" s="7" t="str">
        <x:v>Does searching in the English Service Guide satisfy case insensitivity?</x:v>
      </x:c>
      <x:c r="F211" s="7" t="str">
        <x:v>Uploaded: gws_checklist_2019-modee-v6.0-en-1.pdf</x:v>
      </x:c>
      <x:c r="G211" s="7" t="str">
        <x:v>Not checked</x:v>
      </x:c>
      <x:c r="H211" s="7" t="str"/>
      <x:c r="I211" s="7" t="str"/>
      <x:c r="J211" s="7" t="str"/>
      <x:c r="K211" s="7" t="str"/>
    </x:row>
    <x:row r="212">
      <x:c r="A212" s="7" t="str">
        <x:v>C.3.2-057</x:v>
      </x:c>
      <x:c r="B212" s="7" t="str">
        <x:v>Component 3 - Content and Site Architecture</x:v>
      </x:c>
      <x:c r="C212" s="7" t="str">
        <x:v>C.3.2 Site Pages</x:v>
      </x:c>
      <x:c r="D212" s="7" t="n">
        <x:v>57</x:v>
      </x:c>
      <x:c r="E212" s="7" t="str">
        <x:v>If services in the Service Guide are categorized, are they categorized based on the visitors’ point of view?</x:v>
      </x:c>
      <x:c r="F212" s="7" t="str">
        <x:v>Uploaded: gws_checklist_2019-modee-v6.0-en-1.pdf</x:v>
      </x:c>
      <x:c r="G212" s="7" t="str">
        <x:v>Not checked</x:v>
      </x:c>
      <x:c r="H212" s="7" t="str"/>
      <x:c r="I212" s="7" t="str"/>
      <x:c r="J212" s="7" t="str"/>
      <x:c r="K212" s="7" t="str"/>
    </x:row>
    <x:row r="213">
      <x:c r="A213" s="7" t="str">
        <x:v>C.3.2-058</x:v>
      </x:c>
      <x:c r="B213" s="7" t="str">
        <x:v>Component 3 - Content and Site Architecture</x:v>
      </x:c>
      <x:c r="C213" s="7" t="str">
        <x:v>C.3.2 Site Pages</x:v>
      </x:c>
      <x:c r="D213" s="7" t="n">
        <x:v>58</x:v>
      </x:c>
      <x:c r="E213" s="7" t="str">
        <x:v>In case of subcategorized lists, are all items displayed by default?</x:v>
      </x:c>
      <x:c r="F213" s="7" t="str">
        <x:v>Uploaded: gws_checklist_2019-modee-v6.0-en-1.pdf</x:v>
      </x:c>
      <x:c r="G213" s="7" t="str">
        <x:v>Not checked</x:v>
      </x:c>
      <x:c r="H213" s="7" t="str"/>
      <x:c r="I213" s="7" t="str"/>
      <x:c r="J213" s="7" t="str"/>
      <x:c r="K213" s="7" t="str"/>
    </x:row>
    <x:row r="214">
      <x:c r="A214" s="7" t="str">
        <x:v>C.3.2-059</x:v>
      </x:c>
      <x:c r="B214" s="7" t="str">
        <x:v>Component 3 - Content and Site Architecture</x:v>
      </x:c>
      <x:c r="C214" s="7" t="str">
        <x:v>C.3.2 Site Pages</x:v>
      </x:c>
      <x:c r="D214" s="7" t="n">
        <x:v>59</x:v>
      </x:c>
      <x:c r="E214" s="7" t="str">
        <x:v>Does clicking on a certain search result lead the visitor to the related Service Card page?</x:v>
      </x:c>
      <x:c r="F214" s="7" t="str">
        <x:v>Uploaded: gws_checklist_2019-modee-v6.0-en-1.pdf</x:v>
      </x:c>
      <x:c r="G214" s="7" t="str">
        <x:v>Not checked</x:v>
      </x:c>
      <x:c r="H214" s="7" t="str"/>
      <x:c r="I214" s="7" t="str"/>
      <x:c r="J214" s="7" t="str"/>
      <x:c r="K214" s="7" t="str"/>
    </x:row>
    <x:row r="215">
      <x:c r="A215" s="7" t="str">
        <x:v>C.3.2-060</x:v>
      </x:c>
      <x:c r="B215" s="7" t="str">
        <x:v>Component 3 - Content and Site Architecture</x:v>
      </x:c>
      <x:c r="C215" s="7" t="str">
        <x:v>C.3.2 Site Pages</x:v>
      </x:c>
      <x:c r="D215" s="7" t="n">
        <x:v>60</x:v>
      </x:c>
      <x:c r="E215" s="7" t="str">
        <x:v>Does the Service Card contain important service information? - Name - Description - Requirements - Procedures - Needed Forms - Expected Completion Time - Fees - Centers - eService Option</x:v>
      </x:c>
      <x:c r="F215" s="7" t="str">
        <x:v>Uploaded: gws_checklist_2019-modee-v6.0-en-1.pdf</x:v>
      </x:c>
      <x:c r="G215" s="7" t="str">
        <x:v>Not checked</x:v>
      </x:c>
      <x:c r="H215" s="7" t="str"/>
      <x:c r="I215" s="7" t="str"/>
      <x:c r="J215" s="7" t="str"/>
      <x:c r="K215" s="7" t="str"/>
    </x:row>
    <x:row r="216">
      <x:c r="A216" s="7" t="str">
        <x:v>C.3.2-061</x:v>
      </x:c>
      <x:c r="B216" s="7" t="str">
        <x:v>Component 3 - Content and Site Architecture</x:v>
      </x:c>
      <x:c r="C216" s="7" t="str">
        <x:v>C.3.2 Site Pages</x:v>
      </x:c>
      <x:c r="D216" s="7" t="n">
        <x:v>61</x:v>
      </x:c>
      <x:c r="E216" s="7" t="str">
        <x:v>Does the website provide a Branches Guide?</x:v>
      </x:c>
      <x:c r="F216" s="7" t="str">
        <x:v>Uploaded: gws_checklist_2019-modee-v6.0-en-1.pdf</x:v>
      </x:c>
      <x:c r="G216" s="7" t="str">
        <x:v>Not checked</x:v>
      </x:c>
      <x:c r="H216" s="7" t="str"/>
      <x:c r="I216" s="7" t="str"/>
      <x:c r="J216" s="7" t="str"/>
      <x:c r="K216" s="7" t="str"/>
    </x:row>
    <x:row r="217">
      <x:c r="A217" s="7" t="str">
        <x:v>C.3.2-062</x:v>
      </x:c>
      <x:c r="B217" s="7" t="str">
        <x:v>Component 3 - Content and Site Architecture</x:v>
      </x:c>
      <x:c r="C217" s="7" t="str">
        <x:v>C.3.2 Site Pages</x:v>
      </x:c>
      <x:c r="D217" s="7" t="n">
        <x:v>62</x:v>
      </x:c>
      <x:c r="E217" s="7" t="str">
        <x:v>Does the search facility in the Branches Guide provide searching by branch name?</x:v>
      </x:c>
      <x:c r="F217" s="7" t="str">
        <x:v>Uploaded: gws_checklist_2019-modee-v6.0-en-1.pdf</x:v>
      </x:c>
      <x:c r="G217" s="7" t="str">
        <x:v>Not checked</x:v>
      </x:c>
      <x:c r="H217" s="7" t="str"/>
      <x:c r="I217" s="7" t="str"/>
      <x:c r="J217" s="7" t="str"/>
      <x:c r="K217" s="7" t="str"/>
    </x:row>
    <x:row r="218">
      <x:c r="A218" s="7" t="str">
        <x:v>C.3.2-063</x:v>
      </x:c>
      <x:c r="B218" s="7" t="str">
        <x:v>Component 3 - Content and Site Architecture</x:v>
      </x:c>
      <x:c r="C218" s="7" t="str">
        <x:v>C.3.2 Site Pages</x:v>
      </x:c>
      <x:c r="D218" s="7" t="n">
        <x:v>63</x:v>
      </x:c>
      <x:c r="E218" s="7" t="str">
        <x:v>Does search facility in the Branches Guide provide searching by branch location )‫?(المحافظة‬</x:v>
      </x:c>
      <x:c r="F218" s="7" t="str">
        <x:v>Uploaded: gws_checklist_2019-modee-v6.0-en-1.pdf</x:v>
      </x:c>
      <x:c r="G218" s="7" t="str">
        <x:v>Not checked</x:v>
      </x:c>
      <x:c r="H218" s="7" t="str"/>
      <x:c r="I218" s="7" t="str"/>
      <x:c r="J218" s="7" t="str"/>
      <x:c r="K218" s="7" t="str"/>
    </x:row>
    <x:row r="219">
      <x:c r="A219" s="7" t="str">
        <x:v>C.3.2-064</x:v>
      </x:c>
      <x:c r="B219" s="7" t="str">
        <x:v>Component 3 - Content and Site Architecture</x:v>
      </x:c>
      <x:c r="C219" s="7" t="str">
        <x:v>C.3.2 Site Pages</x:v>
      </x:c>
      <x:c r="D219" s="7" t="n">
        <x:v>64</x:v>
      </x:c>
      <x:c r="E219" s="7" t="str">
        <x:v>Does clicking on a certain search result lead the visitor to the related Branch Card page?</x:v>
      </x:c>
      <x:c r="F219" s="7" t="str">
        <x:v>Uploaded: gws_checklist_2019-modee-v6.0-en-1.pdf</x:v>
      </x:c>
      <x:c r="G219" s="7" t="str">
        <x:v>Not checked</x:v>
      </x:c>
      <x:c r="H219" s="7" t="str"/>
      <x:c r="I219" s="7" t="str"/>
      <x:c r="J219" s="7" t="str"/>
      <x:c r="K219" s="7" t="str"/>
    </x:row>
    <x:row r="220">
      <x:c r="A220" s="7" t="str">
        <x:v>C.3.2-065</x:v>
      </x:c>
      <x:c r="B220" s="7" t="str">
        <x:v>Component 3 - Content and Site Architecture</x:v>
      </x:c>
      <x:c r="C220" s="7" t="str">
        <x:v>C.3.2 Site Pages</x:v>
      </x:c>
      <x:c r="D220" s="7" t="n">
        <x:v>65</x:v>
      </x:c>
      <x:c r="E220" s="7" t="str">
        <x:v>Does the Branch Card contain important branch information? - Name - Location Description with Map URL - Services Provided - Contact Information - Working Hours</x:v>
      </x:c>
      <x:c r="F220" s="7" t="str">
        <x:v>Uploaded: gws_checklist_2019-modee-v6.0-en-1.pdf</x:v>
      </x:c>
      <x:c r="G220" s="7" t="str">
        <x:v>Not checked</x:v>
      </x:c>
      <x:c r="H220" s="7" t="str"/>
      <x:c r="I220" s="7" t="str"/>
      <x:c r="J220" s="7" t="str"/>
      <x:c r="K220" s="7" t="str"/>
    </x:row>
    <x:row r="221">
      <x:c r="A221" s="7" t="str">
        <x:v>C.3.3-066</x:v>
      </x:c>
      <x:c r="B221" s="7" t="str">
        <x:v>Component 3 - Content and Site Architecture</x:v>
      </x:c>
      <x:c r="C221" s="7" t="str">
        <x:v>C.3.3 Downloadable Files</x:v>
      </x:c>
      <x:c r="D221" s="7" t="n">
        <x:v>66</x:v>
      </x:c>
      <x:c r="E221" s="7" t="str">
        <x:v>Are downloadable files clearly named?</x:v>
      </x:c>
      <x:c r="F221" s="7" t="str">
        <x:v>Uploaded: gws_checklist_2019-modee-v6.0-en-1.pdf</x:v>
      </x:c>
      <x:c r="G221" s="7" t="str">
        <x:v>Not checked</x:v>
      </x:c>
      <x:c r="H221" s="7" t="str"/>
      <x:c r="I221" s="7" t="str"/>
      <x:c r="J221" s="7" t="str"/>
      <x:c r="K221" s="7" t="str"/>
    </x:row>
    <x:row r="222">
      <x:c r="A222" s="7" t="str">
        <x:v>C.3.3-067</x:v>
      </x:c>
      <x:c r="B222" s="7" t="str">
        <x:v>Component 3 - Content and Site Architecture</x:v>
      </x:c>
      <x:c r="C222" s="7" t="str">
        <x:v>C.3.3 Downloadable Files</x:v>
      </x:c>
      <x:c r="D222" s="7" t="n">
        <x:v>67</x:v>
      </x:c>
      <x:c r="E222" s="7" t="str">
        <x:v>Are files formats and sizes clearly mentioned? For example: PFD, Word, Excel.</x:v>
      </x:c>
      <x:c r="F222" s="7" t="str">
        <x:v>Uploaded: gws_checklist_2019-modee-v6.0-en-1.pdf</x:v>
      </x:c>
      <x:c r="G222" s="7" t="str">
        <x:v>Not checked</x:v>
      </x:c>
      <x:c r="H222" s="7" t="str"/>
      <x:c r="I222" s="7" t="str"/>
      <x:c r="J222" s="7" t="str"/>
      <x:c r="K222" s="7" t="str"/>
    </x:row>
    <x:row r="223">
      <x:c r="A223" s="7" t="str">
        <x:v>C.3.3-068</x:v>
      </x:c>
      <x:c r="B223" s="7" t="str">
        <x:v>Component 3 - Content and Site Architecture</x:v>
      </x:c>
      <x:c r="C223" s="7" t="str">
        <x:v>C.3.3 Downloadable Files</x:v>
      </x:c>
      <x:c r="D223" s="7" t="n">
        <x:v>68</x:v>
      </x:c>
      <x:c r="E223" s="7" t="str">
        <x:v>Are files sizes optimized to the minimum?</x:v>
      </x:c>
      <x:c r="F223" s="7" t="str">
        <x:v>Uploaded: gws_checklist_2019-modee-v6.0-en-1.pdf</x:v>
      </x:c>
      <x:c r="G223" s="7" t="str">
        <x:v>Not checked</x:v>
      </x:c>
      <x:c r="H223" s="7" t="str"/>
      <x:c r="I223" s="7" t="str"/>
      <x:c r="J223" s="7" t="str"/>
      <x:c r="K223" s="7" t="str"/>
    </x:row>
    <x:row r="224">
      <x:c r="A224" s="7" t="str">
        <x:v>C.3.3-069</x:v>
      </x:c>
      <x:c r="B224" s="7" t="str">
        <x:v>Component 3 - Content and Site Architecture</x:v>
      </x:c>
      <x:c r="C224" s="7" t="str">
        <x:v>C.3.3 Downloadable Files</x:v>
      </x:c>
      <x:c r="D224" s="7" t="n">
        <x:v>69</x:v>
      </x:c>
      <x:c r="E224" s="7" t="str">
        <x:v>Are uploaded file names free from spaces where spaces replaced with underscores?</x:v>
      </x:c>
      <x:c r="F224" s="7" t="str">
        <x:v>Uploaded: gws_checklist_2019-modee-v6.0-en-1.pdf</x:v>
      </x:c>
      <x:c r="G224" s="7" t="str">
        <x:v>Not checked</x:v>
      </x:c>
      <x:c r="H224" s="7" t="str"/>
      <x:c r="I224" s="7" t="str"/>
      <x:c r="J224" s="7" t="str"/>
      <x:c r="K224" s="7" t="str"/>
    </x:row>
    <x:row r="225">
      <x:c r="A225" s="7" t="str">
        <x:v>C.3.3-070</x:v>
      </x:c>
      <x:c r="B225" s="7" t="str">
        <x:v>Component 3 - Content and Site Architecture</x:v>
      </x:c>
      <x:c r="C225" s="7" t="str">
        <x:v>C.3.3 Downloadable Files</x:v>
      </x:c>
      <x:c r="D225" s="7" t="n">
        <x:v>70</x:v>
      </x:c>
      <x:c r="E225" s="7" t="str">
        <x:v>Does the website show “download” "‫ "تحميل‬label clearly next to the downloadable file?</x:v>
      </x:c>
      <x:c r="F225" s="7" t="str">
        <x:v>Uploaded: gws_checklist_2019-modee-v6.0-en-1.pdf</x:v>
      </x:c>
      <x:c r="G225" s="7" t="str">
        <x:v>Not checked</x:v>
      </x:c>
      <x:c r="H225" s="7" t="str"/>
      <x:c r="I225" s="7" t="str"/>
      <x:c r="J225" s="7" t="str"/>
      <x:c r="K225" s="7" t="str"/>
    </x:row>
    <x:row r="226">
      <x:c r="A226" s="7" t="str">
        <x:v>C.3.3-071</x:v>
      </x:c>
      <x:c r="B226" s="7" t="str">
        <x:v>Component 3 - Content and Site Architecture</x:v>
      </x:c>
      <x:c r="C226" s="7" t="str">
        <x:v>C.3.3 Downloadable Files</x:v>
      </x:c>
      <x:c r="D226" s="7" t="n">
        <x:v>71</x:v>
      </x:c>
      <x:c r="E226" s="7" t="str">
        <x:v>Are files that require purchasing licensed-software avoided?</x:v>
      </x:c>
      <x:c r="F226" s="7" t="str">
        <x:v>Uploaded: gws_checklist_2019-modee-v6.0-en-1.pdf</x:v>
      </x:c>
      <x:c r="G226" s="7" t="str">
        <x:v>Not checked</x:v>
      </x:c>
      <x:c r="H226" s="7" t="str"/>
      <x:c r="I226" s="7" t="str"/>
      <x:c r="J226" s="7" t="str"/>
      <x:c r="K226" s="7" t="str"/>
    </x:row>
    <x:row r="227">
      <x:c r="A227" s="7" t="str">
        <x:v>C.3.4-072</x:v>
      </x:c>
      <x:c r="B227" s="7" t="str">
        <x:v>Component 3 - Content and Site Architecture</x:v>
      </x:c>
      <x:c r="C227" s="7" t="str">
        <x:v>C.3.4 Contact Information</x:v>
      </x:c>
      <x:c r="D227" s="7" t="n">
        <x:v>72</x:v>
      </x:c>
      <x:c r="E227" s="7" t="str">
        <x:v>Does contact information comply with GWS? Including: - Entity Phone Numbers - Fax Numbers - P.O. Box Address - Email - Location Description - Location on Google Maps - National Call Center Numbers - Working Hours - Branches Directory Link - Social Media Channels</x:v>
      </x:c>
      <x:c r="F227" s="7" t="str">
        <x:v>Uploaded: gws_checklist_2019-modee-v6.0-en-1.pdf</x:v>
      </x:c>
      <x:c r="G227" s="7" t="str">
        <x:v>Not checked</x:v>
      </x:c>
      <x:c r="H227" s="7" t="str"/>
      <x:c r="I227" s="7" t="str"/>
      <x:c r="J227" s="7" t="str"/>
      <x:c r="K227" s="7" t="str"/>
    </x:row>
    <x:row r="228">
      <x:c r="A228" s="7" t="str">
        <x:v>C.3.4-073</x:v>
      </x:c>
      <x:c r="B228" s="7" t="str">
        <x:v>Component 3 - Content and Site Architecture</x:v>
      </x:c>
      <x:c r="C228" s="7" t="str">
        <x:v>C.3.4 Contact Information</x:v>
      </x:c>
      <x:c r="D228" s="7" t="n">
        <x:v>73</x:v>
      </x:c>
      <x:c r="E228" s="7" t="str">
        <x:v>Does the contact information section have a “Contact Us” form?</x:v>
      </x:c>
      <x:c r="F228" s="7" t="str">
        <x:v>Uploaded: gws_checklist_2019-modee-v6.0-en-1.pdf</x:v>
      </x:c>
      <x:c r="G228" s="7" t="str">
        <x:v>Not checked</x:v>
      </x:c>
      <x:c r="H228" s="7" t="str"/>
      <x:c r="I228" s="7" t="str"/>
      <x:c r="J228" s="7" t="str"/>
      <x:c r="K228" s="7" t="str"/>
    </x:row>
    <x:row r="229">
      <x:c r="A229" s="7" t="str">
        <x:v>C.3.4-074</x:v>
      </x:c>
      <x:c r="B229" s="7" t="str">
        <x:v>Component 3 - Content and Site Architecture</x:v>
      </x:c>
      <x:c r="C229" s="7" t="str">
        <x:v>C.3.4 Contact Information</x:v>
      </x:c>
      <x:c r="D229" s="7" t="n">
        <x:v>74</x:v>
      </x:c>
      <x:c r="E229" s="7" t="str">
        <x:v>Does the Contact Us form contain at minimum: - Contact Type - Subject - Name - Phone Number - Email</x:v>
      </x:c>
      <x:c r="F229" s="7" t="str">
        <x:v>Uploaded: gws_checklist_2019-modee-v6.0-en-1.pdf</x:v>
      </x:c>
      <x:c r="G229" s="7" t="str">
        <x:v>Not checked</x:v>
      </x:c>
      <x:c r="H229" s="7" t="str"/>
      <x:c r="I229" s="7" t="str"/>
      <x:c r="J229" s="7" t="str"/>
      <x:c r="K229" s="7" t="str"/>
    </x:row>
    <x:row r="230">
      <x:c r="A230" s="7" t="str">
        <x:v>C.3.4-075</x:v>
      </x:c>
      <x:c r="B230" s="7" t="str">
        <x:v>Component 3 - Content and Site Architecture</x:v>
      </x:c>
      <x:c r="C230" s="7" t="str">
        <x:v>C.3.4 Contact Information</x:v>
      </x:c>
      <x:c r="D230" s="7" t="n">
        <x:v>75</x:v>
      </x:c>
      <x:c r="E230" s="7" t="str">
        <x:v>Does the visitor receive a confirmation message after submitting the form?</x:v>
      </x:c>
      <x:c r="F230" s="7" t="str">
        <x:v>Uploaded: gws_checklist_2019-modee-v6.0-en-1.pdf</x:v>
      </x:c>
      <x:c r="G230" s="7" t="str">
        <x:v>Not checked</x:v>
      </x:c>
      <x:c r="H230" s="7" t="str"/>
      <x:c r="I230" s="7" t="str"/>
      <x:c r="J230" s="7" t="str"/>
      <x:c r="K230" s="7" t="str"/>
    </x:row>
    <x:row r="231">
      <x:c r="A231" s="7" t="str">
        <x:v>C.3.5-076</x:v>
      </x:c>
      <x:c r="B231" s="7" t="str">
        <x:v>Component 3 - Content and Site Architecture</x:v>
      </x:c>
      <x:c r="C231" s="7" t="str">
        <x:v>C.3.5 Cross Government Information</x:v>
      </x:c>
      <x:c r="D231" s="7" t="n">
        <x:v>76</x:v>
      </x:c>
      <x:c r="E231" s="7" t="str">
        <x:v>Does the website footer contain links to cross government information? - Amman Message Website - Human Rights National Plan - Right to Obtain Information - ‫مدونة السلوك الوظيفي‬ - ‫ بوابة الحكومة االلكترونية‬- ‫حكومتي بخدمتي‬ - ‫بخدمتكم‬</x:v>
      </x:c>
      <x:c r="F231" s="7" t="str">
        <x:v>Uploaded: gws_checklist_2019-modee-v6.0-en-1.pdf</x:v>
      </x:c>
      <x:c r="G231" s="7" t="str">
        <x:v>Not checked</x:v>
      </x:c>
      <x:c r="H231" s="7" t="str"/>
      <x:c r="I231" s="7" t="str"/>
      <x:c r="J231" s="7" t="str"/>
      <x:c r="K231" s="7" t="str"/>
    </x:row>
    <x:row r="232">
      <x:c r="A232" s="7" t="str">
        <x:v>C.3.6-077</x:v>
      </x:c>
      <x:c r="B232" s="7" t="str">
        <x:v>Component 3 - Content and Site Architecture</x:v>
      </x:c>
      <x:c r="C232" s="7" t="str">
        <x:v>C.3.6 FAQ</x:v>
      </x:c>
      <x:c r="D232" s="7" t="n">
        <x:v>77</x:v>
      </x:c>
      <x:c r="E232" s="7" t="str">
        <x:v>Does the website provide an FAQ page?</x:v>
      </x:c>
      <x:c r="F232" s="7" t="str">
        <x:v>Uploaded: gws_checklist_2019-modee-v6.0-en-1.pdf</x:v>
      </x:c>
      <x:c r="G232" s="7" t="str">
        <x:v>Not checked</x:v>
      </x:c>
      <x:c r="H232" s="7" t="str"/>
      <x:c r="I232" s="7" t="str"/>
      <x:c r="J232" s="7" t="str"/>
      <x:c r="K232" s="7" t="str"/>
    </x:row>
    <x:row r="233">
      <x:c r="A233" s="7" t="str">
        <x:v>C.3.6-078</x:v>
      </x:c>
      <x:c r="B233" s="7" t="str">
        <x:v>Component 3 - Content and Site Architecture</x:v>
      </x:c>
      <x:c r="C233" s="7" t="str">
        <x:v>C.3.6 FAQ</x:v>
      </x:c>
      <x:c r="D233" s="7" t="n">
        <x:v>78</x:v>
      </x:c>
      <x:c r="E233" s="7" t="str">
        <x:v>Is the FAQ page located in the secondary menu?</x:v>
      </x:c>
      <x:c r="F233" s="7" t="str">
        <x:v>Uploaded: gws_checklist_2019-modee-v6.0-en-1.pdf</x:v>
      </x:c>
      <x:c r="G233" s="7" t="str">
        <x:v>Not checked</x:v>
      </x:c>
      <x:c r="H233" s="7" t="str"/>
      <x:c r="I233" s="7" t="str"/>
      <x:c r="J233" s="7" t="str"/>
      <x:c r="K233" s="7" t="str"/>
    </x:row>
    <x:row r="234">
      <x:c r="A234" s="7" t="str">
        <x:v>C.3.6-079</x:v>
      </x:c>
      <x:c r="B234" s="7" t="str">
        <x:v>Component 3 - Content and Site Architecture</x:v>
      </x:c>
      <x:c r="C234" s="7" t="str">
        <x:v>C.3.6 FAQ</x:v>
      </x:c>
      <x:c r="D234" s="7" t="n">
        <x:v>79</x:v>
      </x:c>
      <x:c r="E234" s="7" t="str">
        <x:v>Are the questions clear and short?</x:v>
      </x:c>
      <x:c r="F234" s="7" t="str">
        <x:v>Uploaded: gws_checklist_2019-modee-v6.0-en-1.pdf</x:v>
      </x:c>
      <x:c r="G234" s="7" t="str">
        <x:v>Not checked</x:v>
      </x:c>
      <x:c r="H234" s="7" t="str"/>
      <x:c r="I234" s="7" t="str"/>
      <x:c r="J234" s="7" t="str"/>
      <x:c r="K234" s="7" t="str"/>
    </x:row>
    <x:row r="235">
      <x:c r="A235" s="7" t="str">
        <x:v>C.3.6-080</x:v>
      </x:c>
      <x:c r="B235" s="7" t="str">
        <x:v>Component 3 - Content and Site Architecture</x:v>
      </x:c>
      <x:c r="C235" s="7" t="str">
        <x:v>C.3.6 FAQ</x:v>
      </x:c>
      <x:c r="D235" s="7" t="n">
        <x:v>80</x:v>
      </x:c>
      <x:c r="E235" s="7" t="str">
        <x:v>Are FAQ categorized? For example, Digital transformation questions, entrepreneurship</x:v>
      </x:c>
      <x:c r="F235" s="7" t="str">
        <x:v>Uploaded: gws_checklist_2019-modee-v6.0-en-1.pdf</x:v>
      </x:c>
      <x:c r="G235" s="7" t="str">
        <x:v>Not checked</x:v>
      </x:c>
      <x:c r="H235" s="7" t="str"/>
      <x:c r="I235" s="7" t="str"/>
      <x:c r="J235" s="7" t="str"/>
      <x:c r="K235" s="7" t="str"/>
    </x:row>
    <x:row r="236">
      <x:c r="A236" s="7" t="str">
        <x:v>C.3.6-081</x:v>
      </x:c>
      <x:c r="B236" s="7" t="str">
        <x:v>Component 3 - Content and Site Architecture</x:v>
      </x:c>
      <x:c r="C236" s="7" t="str">
        <x:v>C.3.6 FAQ</x:v>
      </x:c>
      <x:c r="D236" s="7" t="n">
        <x:v>81</x:v>
      </x:c>
      <x:c r="E236" s="7" t="str">
        <x:v>Does FAQs provide a facility for visitors to ask new questions?</x:v>
      </x:c>
      <x:c r="F236" s="7" t="str">
        <x:v>Uploaded: gws_checklist_2019-modee-v6.0-en-1.pdf</x:v>
      </x:c>
      <x:c r="G236" s="7" t="str">
        <x:v>Not checked</x:v>
      </x:c>
      <x:c r="H236" s="7" t="str"/>
      <x:c r="I236" s="7" t="str"/>
      <x:c r="J236" s="7" t="str"/>
      <x:c r="K236" s="7" t="str"/>
    </x:row>
    <x:row r="237">
      <x:c r="A237" s="7" t="str">
        <x:v>C.3.7-082</x:v>
      </x:c>
      <x:c r="B237" s="7" t="str">
        <x:v>Component 3 - Content and Site Architecture</x:v>
      </x:c>
      <x:c r="C237" s="7" t="str">
        <x:v>C.3.7 Website Policies</x:v>
      </x:c>
      <x:c r="D237" s="7" t="n">
        <x:v>82</x:v>
      </x:c>
      <x:c r="E237" s="7" t="str">
        <x:v>Does the website have a Privacy Policy?</x:v>
      </x:c>
      <x:c r="F237" s="7" t="str">
        <x:v>Uploaded: gws_checklist_2019-modee-v6.0-en-1.pdf</x:v>
      </x:c>
      <x:c r="G237" s="7" t="str">
        <x:v>Not checked</x:v>
      </x:c>
      <x:c r="H237" s="7" t="str"/>
      <x:c r="I237" s="7" t="str"/>
      <x:c r="J237" s="7" t="str"/>
      <x:c r="K237" s="7" t="str"/>
    </x:row>
    <x:row r="238">
      <x:c r="A238" s="7" t="str">
        <x:v>C.3.7-083</x:v>
      </x:c>
      <x:c r="B238" s="7" t="str">
        <x:v>Component 3 - Content and Site Architecture</x:v>
      </x:c>
      <x:c r="C238" s="7" t="str">
        <x:v>C.3.7 Website Policies</x:v>
      </x:c>
      <x:c r="D238" s="7" t="n">
        <x:v>83</x:v>
      </x:c>
      <x:c r="E238" s="7" t="str">
        <x:v>Does the website have a Copyrights Statement?</x:v>
      </x:c>
      <x:c r="F238" s="7" t="str">
        <x:v>Uploaded: gws_checklist_2019-modee-v6.0-en-1.pdf</x:v>
      </x:c>
      <x:c r="G238" s="7" t="str">
        <x:v>Not checked</x:v>
      </x:c>
      <x:c r="H238" s="7" t="str"/>
      <x:c r="I238" s="7" t="str"/>
      <x:c r="J238" s="7" t="str"/>
      <x:c r="K238" s="7" t="str"/>
    </x:row>
    <x:row r="239">
      <x:c r="A239" s="7" t="str">
        <x:v>C.3.7-084</x:v>
      </x:c>
      <x:c r="B239" s="7" t="str">
        <x:v>Component 3 - Content and Site Architecture</x:v>
      </x:c>
      <x:c r="C239" s="7" t="str">
        <x:v>C.3.7 Website Policies</x:v>
      </x:c>
      <x:c r="D239" s="7" t="n">
        <x:v>84</x:v>
      </x:c>
      <x:c r="E239" s="7" t="str">
        <x:v>Does the website have Terms of Use?</x:v>
      </x:c>
      <x:c r="F239" s="7" t="str">
        <x:v>Uploaded: gws_checklist_2019-modee-v6.0-en-1.pdf</x:v>
      </x:c>
      <x:c r="G239" s="7" t="str">
        <x:v>Not checked</x:v>
      </x:c>
      <x:c r="H239" s="7" t="str"/>
      <x:c r="I239" s="7" t="str"/>
      <x:c r="J239" s="7" t="str"/>
      <x:c r="K239" s="7" t="str"/>
    </x:row>
    <x:row r="240">
      <x:c r="A240" s="7" t="str">
        <x:v>C.3.7-085</x:v>
      </x:c>
      <x:c r="B240" s="7" t="str">
        <x:v>Component 3 - Content and Site Architecture</x:v>
      </x:c>
      <x:c r="C240" s="7" t="str">
        <x:v>C.3.7 Website Policies</x:v>
      </x:c>
      <x:c r="D240" s="7" t="n">
        <x:v>85</x:v>
      </x:c>
      <x:c r="E240" s="7" t="str">
        <x:v>Does the website have a Disclaimer section?</x:v>
      </x:c>
      <x:c r="F240" s="7" t="str">
        <x:v>Uploaded: gws_checklist_2019-modee-v6.0-en-1.pdf</x:v>
      </x:c>
      <x:c r="G240" s="7" t="str">
        <x:v>Not checked</x:v>
      </x:c>
      <x:c r="H240" s="7" t="str"/>
      <x:c r="I240" s="7" t="str"/>
      <x:c r="J240" s="7" t="str"/>
      <x:c r="K240" s="7" t="str"/>
    </x:row>
    <x:row r="241">
      <x:c r="A241" s="7" t="str">
        <x:v>C.3.8-086</x:v>
      </x:c>
      <x:c r="B241" s="7" t="str">
        <x:v>Component 3 - Content and Site Architecture</x:v>
      </x:c>
      <x:c r="C241" s="7" t="str">
        <x:v>C.3.8 Content Management System</x:v>
      </x:c>
      <x:c r="D241" s="7" t="n">
        <x:v>86</x:v>
      </x:c>
      <x:c r="E241" s="7" t="str">
        <x:v>Is the website supported by a Content Management System (CMS)?</x:v>
      </x:c>
      <x:c r="F241" s="7" t="str">
        <x:v>Uploaded: gws_checklist_2019-modee-v6.0-en-1.pdf</x:v>
      </x:c>
      <x:c r="G241" s="7" t="str">
        <x:v>Not checked</x:v>
      </x:c>
      <x:c r="H241" s="7" t="str"/>
      <x:c r="I241" s="7" t="str"/>
      <x:c r="J241" s="7" t="str"/>
      <x:c r="K241" s="7" t="str"/>
    </x:row>
    <x:row r="242">
      <x:c r="A242" s="7" t="str">
        <x:v>C.3.8-087</x:v>
      </x:c>
      <x:c r="B242" s="7" t="str">
        <x:v>Component 3 - Content and Site Architecture</x:v>
      </x:c>
      <x:c r="C242" s="7" t="str">
        <x:v>C.3.8 Content Management System</x:v>
      </x:c>
      <x:c r="D242" s="7" t="n">
        <x:v>87</x:v>
      </x:c>
      <x:c r="E242" s="7" t="str">
        <x:v>Is the CMS user-friendly? Can non-technical users carry out administrative tasks on the CMS?</x:v>
      </x:c>
      <x:c r="F242" s="7" t="str">
        <x:v>Uploaded: gws_checklist_2019-modee-v6.0-en-1.pdf</x:v>
      </x:c>
      <x:c r="G242" s="7" t="str">
        <x:v>Not checked</x:v>
      </x:c>
      <x:c r="H242" s="7" t="str"/>
      <x:c r="I242" s="7" t="str"/>
      <x:c r="J242" s="7" t="str"/>
      <x:c r="K242" s="7" t="str"/>
    </x:row>
    <x:row r="243">
      <x:c r="A243" s="7" t="str">
        <x:v>C.3.8-088</x:v>
      </x:c>
      <x:c r="B243" s="7" t="str">
        <x:v>Component 3 - Content and Site Architecture</x:v>
      </x:c>
      <x:c r="C243" s="7" t="str">
        <x:v>C.3.8 Content Management System</x:v>
      </x:c>
      <x:c r="D243" s="7" t="n">
        <x:v>88</x:v>
      </x:c>
      <x:c r="E243" s="7" t="str">
        <x:v>Does the CMS support an unlimited number of users and groups?</x:v>
      </x:c>
      <x:c r="F243" s="7" t="str">
        <x:v>Uploaded: gws_checklist_2019-modee-v6.0-en-1.pdf</x:v>
      </x:c>
      <x:c r="G243" s="7" t="str">
        <x:v>Not checked</x:v>
      </x:c>
      <x:c r="H243" s="7" t="str"/>
      <x:c r="I243" s="7" t="str"/>
      <x:c r="J243" s="7" t="str"/>
      <x:c r="K243" s="7" t="str"/>
    </x:row>
    <x:row r="244">
      <x:c r="A244" s="7" t="str">
        <x:v>C.3.8-089</x:v>
      </x:c>
      <x:c r="B244" s="7" t="str">
        <x:v>Component 3 - Content and Site Architecture</x:v>
      </x:c>
      <x:c r="C244" s="7" t="str">
        <x:v>C.3.8 Content Management System</x:v>
      </x:c>
      <x:c r="D244" s="7" t="n">
        <x:v>89</x:v>
      </x:c>
      <x:c r="E244" s="7" t="str">
        <x:v>Does the CMS support user roles and privileges in terms of what pages can be controlled and what actions can be done on a page?</x:v>
      </x:c>
      <x:c r="F244" s="7" t="str">
        <x:v>Uploaded: gws_checklist_2019-modee-v6.0-en-1.pdf</x:v>
      </x:c>
      <x:c r="G244" s="7" t="str">
        <x:v>Not checked</x:v>
      </x:c>
      <x:c r="H244" s="7" t="str"/>
      <x:c r="I244" s="7" t="str"/>
      <x:c r="J244" s="7" t="str"/>
      <x:c r="K244" s="7" t="str"/>
    </x:row>
    <x:row r="245">
      <x:c r="A245" s="7" t="str">
        <x:v>C.3.8-090</x:v>
      </x:c>
      <x:c r="B245" s="7" t="str">
        <x:v>Component 3 - Content and Site Architecture</x:v>
      </x:c>
      <x:c r="C245" s="7" t="str">
        <x:v>C.3.8 Content Management System</x:v>
      </x:c>
      <x:c r="D245" s="7" t="n">
        <x:v>90</x:v>
      </x:c>
      <x:c r="E245" s="7" t="str">
        <x:v>Does the CMS support workflow creation?</x:v>
      </x:c>
      <x:c r="F245" s="7" t="str">
        <x:v>Uploaded: gws_checklist_2019-modee-v6.0-en-1.pdf</x:v>
      </x:c>
      <x:c r="G245" s="7" t="str">
        <x:v>Not checked</x:v>
      </x:c>
      <x:c r="H245" s="7" t="str"/>
      <x:c r="I245" s="7" t="str"/>
      <x:c r="J245" s="7" t="str"/>
      <x:c r="K245" s="7" t="str"/>
    </x:row>
    <x:row r="246">
      <x:c r="A246" s="7" t="str">
        <x:v>C.3.8-091</x:v>
      </x:c>
      <x:c r="B246" s="7" t="str">
        <x:v>Component 3 - Content and Site Architecture</x:v>
      </x:c>
      <x:c r="C246" s="7" t="str">
        <x:v>C.3.8 Content Management System</x:v>
      </x:c>
      <x:c r="D246" s="7" t="n">
        <x:v>91</x:v>
      </x:c>
      <x:c r="E246" s="7" t="str">
        <x:v>Does the CMS support content versioning?</x:v>
      </x:c>
      <x:c r="F246" s="7" t="str">
        <x:v>Uploaded: gws_checklist_2019-modee-v6.0-en-1.pdf</x:v>
      </x:c>
      <x:c r="G246" s="7" t="str">
        <x:v>Not checked</x:v>
      </x:c>
      <x:c r="H246" s="7" t="str"/>
      <x:c r="I246" s="7" t="str"/>
      <x:c r="J246" s="7" t="str"/>
      <x:c r="K246" s="7" t="str"/>
    </x:row>
    <x:row r="247">
      <x:c r="A247" s="7" t="str">
        <x:v>C.3.8-092</x:v>
      </x:c>
      <x:c r="B247" s="7" t="str">
        <x:v>Component 3 - Content and Site Architecture</x:v>
      </x:c>
      <x:c r="C247" s="7" t="str">
        <x:v>C.3.8 Content Management System</x:v>
      </x:c>
      <x:c r="D247" s="7" t="n">
        <x:v>92</x:v>
      </x:c>
      <x:c r="E247" s="7" t="str">
        <x:v>Does the CMS support content scheduling?</x:v>
      </x:c>
      <x:c r="F247" s="7" t="str">
        <x:v>Uploaded: gws_checklist_2019-modee-v6.0-en-1.pdf</x:v>
      </x:c>
      <x:c r="G247" s="7" t="str">
        <x:v>Not checked</x:v>
      </x:c>
      <x:c r="H247" s="7" t="str"/>
      <x:c r="I247" s="7" t="str"/>
      <x:c r="J247" s="7" t="str"/>
      <x:c r="K247" s="7" t="str"/>
    </x:row>
    <x:row r="248">
      <x:c r="A248" s="7" t="str">
        <x:v>C.3.8-093</x:v>
      </x:c>
      <x:c r="B248" s="7" t="str">
        <x:v>Component 3 - Content and Site Architecture</x:v>
      </x:c>
      <x:c r="C248" s="7" t="str">
        <x:v>C.3.8 Content Management System</x:v>
      </x:c>
      <x:c r="D248" s="7" t="n">
        <x:v>93</x:v>
      </x:c>
      <x:c r="E248" s="7" t="str">
        <x:v>Does the CMS support administration transactions logging?</x:v>
      </x:c>
      <x:c r="F248" s="7" t="str">
        <x:v>Uploaded: gws_checklist_2019-modee-v6.0-en-1.pdf</x:v>
      </x:c>
      <x:c r="G248" s="7" t="str">
        <x:v>Not checked</x:v>
      </x:c>
      <x:c r="H248" s="7" t="str"/>
      <x:c r="I248" s="7" t="str"/>
      <x:c r="J248" s="7" t="str"/>
      <x:c r="K248" s="7" t="str"/>
    </x:row>
    <x:row r="249">
      <x:c r="A249" s="7" t="str">
        <x:v>C.3.8-094</x:v>
      </x:c>
      <x:c r="B249" s="7" t="str">
        <x:v>Component 3 - Content and Site Architecture</x:v>
      </x:c>
      <x:c r="C249" s="7" t="str">
        <x:v>C.3.8 Content Management System</x:v>
      </x:c>
      <x:c r="D249" s="7" t="n">
        <x:v>94</x:v>
      </x:c>
      <x:c r="E249" s="7" t="str">
        <x:v>Does the CMS carry out an SEO Module?</x:v>
      </x:c>
      <x:c r="F249" s="7" t="str">
        <x:v>Uploaded: gws_checklist_2019-modee-v6.0-en-1.pdf</x:v>
      </x:c>
      <x:c r="G249" s="7" t="str">
        <x:v>Not checked</x:v>
      </x:c>
      <x:c r="H249" s="7" t="str"/>
      <x:c r="I249" s="7" t="str"/>
      <x:c r="J249" s="7" t="str"/>
      <x:c r="K249" s="7" t="str"/>
    </x:row>
    <x:row r="250">
      <x:c r="A250" s="7" t="str">
        <x:v>C.3.8-095</x:v>
      </x:c>
      <x:c r="B250" s="7" t="str">
        <x:v>Component 3 - Content and Site Architecture</x:v>
      </x:c>
      <x:c r="C250" s="7" t="str">
        <x:v>C.3.8 Content Management System</x:v>
      </x:c>
      <x:c r="D250" s="7" t="n">
        <x:v>95</x:v>
      </x:c>
      <x:c r="E250" s="7" t="str">
        <x:v>Does the CMS support multi-language websites?</x:v>
      </x:c>
      <x:c r="F250" s="7" t="str">
        <x:v>Uploaded: gws_checklist_2019-modee-v6.0-en-1.pdf</x:v>
      </x:c>
      <x:c r="G250" s="7" t="str">
        <x:v>Not checked</x:v>
      </x:c>
      <x:c r="H250" s="7" t="str"/>
      <x:c r="I250" s="7" t="str"/>
      <x:c r="J250" s="7" t="str"/>
      <x:c r="K250" s="7" t="str"/>
    </x:row>
    <x:row r="251">
      <x:c r="A251" s="7" t="str">
        <x:v>C.3.8-096</x:v>
      </x:c>
      <x:c r="B251" s="7" t="str">
        <x:v>Component 3 - Content and Site Architecture</x:v>
      </x:c>
      <x:c r="C251" s="7" t="str">
        <x:v>C.3.8 Content Management System</x:v>
      </x:c>
      <x:c r="D251" s="7" t="n">
        <x:v>96</x:v>
      </x:c>
      <x:c r="E251" s="7" t="str">
        <x:v>Does the CMS provide out of the box modules? For example, News, calendar, etc.</x:v>
      </x:c>
      <x:c r="F251" s="7" t="str">
        <x:v>Uploaded: gws_checklist_2019-modee-v6.0-en-1.pdf</x:v>
      </x:c>
      <x:c r="G251" s="7" t="str">
        <x:v>Not checked</x:v>
      </x:c>
      <x:c r="H251" s="7" t="str"/>
      <x:c r="I251" s="7" t="str"/>
      <x:c r="J251" s="7" t="str"/>
      <x:c r="K251" s="7" t="str"/>
    </x:row>
    <x:row r="252">
      <x:c r="A252" s="7" t="str">
        <x:v>R.4.1-001</x:v>
      </x:c>
      <x:c r="B252" s="7" t="str">
        <x:v>Component 4 - Responsive Web Design</x:v>
      </x:c>
      <x:c r="C252" s="7" t="str">
        <x:v>R.4.1 Design for Mobile</x:v>
      </x:c>
      <x:c r="D252" s="7" t="n">
        <x:v>1</x:v>
      </x:c>
      <x:c r="E252" s="7" t="str">
        <x:v>Is the website designed in a responsive manner?</x:v>
      </x:c>
      <x:c r="F252" s="7" t="str">
        <x:v>Uploaded: gws_checklist_2019-modee-v6.0-en-1.pdf</x:v>
      </x:c>
      <x:c r="G252" s="7" t="str">
        <x:v>Not checked</x:v>
      </x:c>
      <x:c r="H252" s="7" t="str"/>
      <x:c r="I252" s="7" t="str"/>
      <x:c r="J252" s="7" t="str"/>
      <x:c r="K252" s="7" t="str"/>
    </x:row>
    <x:row r="253">
      <x:c r="A253" s="7" t="str">
        <x:v>R.4.1-002</x:v>
      </x:c>
      <x:c r="B253" s="7" t="str">
        <x:v>Component 4 - Responsive Web Design</x:v>
      </x:c>
      <x:c r="C253" s="7" t="str">
        <x:v>R.4.1 Design for Mobile</x:v>
      </x:c>
      <x:c r="D253" s="7" t="n">
        <x:v>2</x:v>
      </x:c>
      <x:c r="E253" s="7" t="str">
        <x:v>Do webpages in mobile view show component based on priorities?</x:v>
      </x:c>
      <x:c r="F253" s="7" t="str">
        <x:v>Uploaded: gws_checklist_2019-modee-v6.0-en-1.pdf</x:v>
      </x:c>
      <x:c r="G253" s="7" t="str">
        <x:v>Not checked</x:v>
      </x:c>
      <x:c r="H253" s="7" t="str"/>
      <x:c r="I253" s="7" t="str"/>
      <x:c r="J253" s="7" t="str"/>
      <x:c r="K253" s="7" t="str"/>
    </x:row>
    <x:row r="254">
      <x:c r="A254" s="7" t="str">
        <x:v>R.4.1-003</x:v>
      </x:c>
      <x:c r="B254" s="7" t="str">
        <x:v>Component 4 - Responsive Web Design</x:v>
      </x:c>
      <x:c r="C254" s="7" t="str">
        <x:v>R.4.1 Design for Mobile</x:v>
      </x:c>
      <x:c r="D254" s="7" t="n">
        <x:v>3</x:v>
      </x:c>
      <x:c r="E254" s="7" t="str">
        <x:v>Is the logo designed using responsive frameworks and variable sizes? - Logo resizes itself to fit whatever available space has been provided for it. - Logo does not stretch.</x:v>
      </x:c>
      <x:c r="F254" s="7" t="str">
        <x:v>Uploaded: gws_checklist_2019-modee-v6.0-en-1.pdf</x:v>
      </x:c>
      <x:c r="G254" s="7" t="str">
        <x:v>Not checked</x:v>
      </x:c>
      <x:c r="H254" s="7" t="str"/>
      <x:c r="I254" s="7" t="str"/>
      <x:c r="J254" s="7" t="str"/>
      <x:c r="K254" s="7" t="str"/>
    </x:row>
    <x:row r="255">
      <x:c r="A255" s="7" t="str">
        <x:v>R.4.1-004</x:v>
      </x:c>
      <x:c r="B255" s="7" t="str">
        <x:v>Component 4 - Responsive Web Design</x:v>
      </x:c>
      <x:c r="C255" s="7" t="str">
        <x:v>R.4.1 Design for Mobile</x:v>
      </x:c>
      <x:c r="D255" s="7" t="n">
        <x:v>4</x:v>
      </x:c>
      <x:c r="E255" s="7" t="str">
        <x:v>Is the logo in the mobile version displayed at the header’s center?</x:v>
      </x:c>
      <x:c r="F255" s="7" t="str">
        <x:v>Uploaded: gws_checklist_2019-modee-v6.0-en-1.pdf</x:v>
      </x:c>
      <x:c r="G255" s="7" t="str">
        <x:v>Not checked</x:v>
      </x:c>
      <x:c r="H255" s="7" t="str"/>
      <x:c r="I255" s="7" t="str"/>
      <x:c r="J255" s="7" t="str"/>
      <x:c r="K255" s="7" t="str"/>
    </x:row>
    <x:row r="256">
      <x:c r="A256" s="7" t="str">
        <x:v>R.4.1-005</x:v>
      </x:c>
      <x:c r="B256" s="7" t="str">
        <x:v>Component 4 - Responsive Web Design</x:v>
      </x:c>
      <x:c r="C256" s="7" t="str">
        <x:v>R.4.1 Design for Mobile</x:v>
      </x:c>
      <x:c r="D256" s="7" t="n">
        <x:v>5</x:v>
      </x:c>
      <x:c r="E256" s="7" t="str">
        <x:v>Does the “Switch Language” button appear consistently in the header; and isn’t placed in the menu?</x:v>
      </x:c>
      <x:c r="F256" s="7" t="str">
        <x:v>Uploaded: gws_checklist_2019-modee-v6.0-en-1.pdf</x:v>
      </x:c>
      <x:c r="G256" s="7" t="str">
        <x:v>Not checked</x:v>
      </x:c>
      <x:c r="H256" s="7" t="str"/>
      <x:c r="I256" s="7" t="str"/>
      <x:c r="J256" s="7" t="str"/>
      <x:c r="K256" s="7" t="str"/>
    </x:row>
    <x:row r="257">
      <x:c r="A257" s="7" t="str">
        <x:v>R.4.1-006</x:v>
      </x:c>
      <x:c r="B257" s="7" t="str">
        <x:v>Component 4 - Responsive Web Design</x:v>
      </x:c>
      <x:c r="C257" s="7" t="str">
        <x:v>R.4.1 Design for Mobile</x:v>
      </x:c>
      <x:c r="D257" s="7" t="n">
        <x:v>6</x:v>
      </x:c>
      <x:c r="E257" s="7" t="str">
        <x:v>Does the website mobile version convert regular menus to hamburger menus?</x:v>
      </x:c>
      <x:c r="F257" s="7" t="str">
        <x:v>Uploaded: gws_checklist_2019-modee-v6.0-en-1.pdf</x:v>
      </x:c>
      <x:c r="G257" s="7" t="str">
        <x:v>Not checked</x:v>
      </x:c>
      <x:c r="H257" s="7" t="str"/>
      <x:c r="I257" s="7" t="str"/>
      <x:c r="J257" s="7" t="str"/>
      <x:c r="K257" s="7" t="str"/>
    </x:row>
    <x:row r="258">
      <x:c r="A258" s="7" t="str">
        <x:v>R.4.1-007</x:v>
      </x:c>
      <x:c r="B258" s="7" t="str">
        <x:v>Component 4 - Responsive Web Design</x:v>
      </x:c>
      <x:c r="C258" s="7" t="str">
        <x:v>R.4.1 Design for Mobile</x:v>
      </x:c>
      <x:c r="D258" s="7" t="n">
        <x:v>7</x:v>
      </x:c>
      <x:c r="E258" s="7" t="str">
        <x:v>In case of removing the secondary menu, are secondary menu items moved to the main hamburger menu?</x:v>
      </x:c>
      <x:c r="F258" s="7" t="str">
        <x:v>Uploaded: gws_checklist_2019-modee-v6.0-en-1.pdf</x:v>
      </x:c>
      <x:c r="G258" s="7" t="str">
        <x:v>Not checked</x:v>
      </x:c>
      <x:c r="H258" s="7" t="str"/>
      <x:c r="I258" s="7" t="str"/>
      <x:c r="J258" s="7" t="str"/>
      <x:c r="K258" s="7" t="str"/>
    </x:row>
    <x:row r="259">
      <x:c r="A259" s="7" t="str">
        <x:v>R.4.1-008</x:v>
      </x:c>
      <x:c r="B259" s="7" t="str">
        <x:v>Component 4 - Responsive Web Design</x:v>
      </x:c>
      <x:c r="C259" s="7" t="str">
        <x:v>R.4.1 Design for Mobile</x:v>
      </x:c>
      <x:c r="D259" s="7" t="n">
        <x:v>8</x:v>
      </x:c>
      <x:c r="E259" s="7" t="str">
        <x:v>Does the main menu appear on the right-side of the header, for both English and Arabic versions of the website?</x:v>
      </x:c>
      <x:c r="F259" s="7" t="str">
        <x:v>Uploaded: gws_checklist_2019-modee-v6.0-en-1.pdf</x:v>
      </x:c>
      <x:c r="G259" s="7" t="str">
        <x:v>Not checked</x:v>
      </x:c>
      <x:c r="H259" s="7" t="str"/>
      <x:c r="I259" s="7" t="str"/>
      <x:c r="J259" s="7" t="str"/>
      <x:c r="K259" s="7" t="str"/>
    </x:row>
    <x:row r="260">
      <x:c r="A260" s="7" t="str">
        <x:v>R.4.1-009</x:v>
      </x:c>
      <x:c r="B260" s="7" t="str">
        <x:v>Component 4 - Responsive Web Design</x:v>
      </x:c>
      <x:c r="C260" s="7" t="str">
        <x:v>R.4.1 Design for Mobile</x:v>
      </x:c>
      <x:c r="D260" s="7" t="n">
        <x:v>9</x:v>
      </x:c>
      <x:c r="E260" s="7" t="str">
        <x:v>Does the secondary menu appear on the left-side of the header, for both English and Arabic versions of the website?</x:v>
      </x:c>
      <x:c r="F260" s="7" t="str">
        <x:v>Uploaded: gws_checklist_2019-modee-v6.0-en-1.pdf</x:v>
      </x:c>
      <x:c r="G260" s="7" t="str">
        <x:v>Not checked</x:v>
      </x:c>
      <x:c r="H260" s="7" t="str"/>
      <x:c r="I260" s="7" t="str"/>
      <x:c r="J260" s="7" t="str"/>
      <x:c r="K260" s="7" t="str"/>
    </x:row>
    <x:row r="261">
      <x:c r="A261" s="7" t="str">
        <x:v>R.4.1-010</x:v>
      </x:c>
      <x:c r="B261" s="7" t="str">
        <x:v>Component 4 - Responsive Web Design</x:v>
      </x:c>
      <x:c r="C261" s="7" t="str">
        <x:v>R.4.1 Design for Mobile</x:v>
      </x:c>
      <x:c r="D261" s="7" t="n">
        <x:v>10</x:v>
      </x:c>
      <x:c r="E261" s="7" t="str">
        <x:v>Are menus consistent throughout the pages?</x:v>
      </x:c>
      <x:c r="F261" s="7" t="str">
        <x:v>Uploaded: gws_checklist_2019-modee-v6.0-en-1.pdf</x:v>
      </x:c>
      <x:c r="G261" s="7" t="str">
        <x:v>Not checked</x:v>
      </x:c>
      <x:c r="H261" s="7" t="str"/>
      <x:c r="I261" s="7" t="str"/>
      <x:c r="J261" s="7" t="str"/>
      <x:c r="K261" s="7" t="str"/>
    </x:row>
    <x:row r="262">
      <x:c r="A262" s="7" t="str">
        <x:v>R.4.1-011</x:v>
      </x:c>
      <x:c r="B262" s="7" t="str">
        <x:v>Component 4 - Responsive Web Design</x:v>
      </x:c>
      <x:c r="C262" s="7" t="str">
        <x:v>R.4.1 Design for Mobile</x:v>
      </x:c>
      <x:c r="D262" s="7" t="n">
        <x:v>11</x:v>
      </x:c>
      <x:c r="E262" s="7" t="str">
        <x:v>Is the search bar obvious and consistent on the header, not in the menus?</x:v>
      </x:c>
      <x:c r="F262" s="7" t="str">
        <x:v>Uploaded: gws_checklist_2019-modee-v6.0-en-1.pdf</x:v>
      </x:c>
      <x:c r="G262" s="7" t="str">
        <x:v>Not checked</x:v>
      </x:c>
      <x:c r="H262" s="7" t="str"/>
      <x:c r="I262" s="7" t="str"/>
      <x:c r="J262" s="7" t="str"/>
      <x:c r="K262" s="7" t="str"/>
    </x:row>
    <x:row r="263">
      <x:c r="A263" s="7" t="str">
        <x:v>R.4.1-012</x:v>
      </x:c>
      <x:c r="B263" s="7" t="str">
        <x:v>Component 4 - Responsive Web Design</x:v>
      </x:c>
      <x:c r="C263" s="7" t="str">
        <x:v>R.4.1 Design for Mobile</x:v>
      </x:c>
      <x:c r="D263" s="7" t="n">
        <x:v>12</x:v>
      </x:c>
      <x:c r="E263" s="7" t="str">
        <x:v>Are unnecessary images removed?</x:v>
      </x:c>
      <x:c r="F263" s="7" t="str">
        <x:v>Uploaded: gws_checklist_2019-modee-v6.0-en-1.pdf</x:v>
      </x:c>
      <x:c r="G263" s="7" t="str">
        <x:v>Not checked</x:v>
      </x:c>
      <x:c r="H263" s="7" t="str"/>
      <x:c r="I263" s="7" t="str"/>
      <x:c r="J263" s="7" t="str"/>
      <x:c r="K263" s="7" t="str"/>
    </x:row>
    <x:row r="264">
      <x:c r="A264" s="7" t="str">
        <x:v>R.4.1-013</x:v>
      </x:c>
      <x:c r="B264" s="7" t="str">
        <x:v>Component 4 - Responsive Web Design</x:v>
      </x:c>
      <x:c r="C264" s="7" t="str">
        <x:v>R.4.1 Design for Mobile</x:v>
      </x:c>
      <x:c r="D264" s="7" t="n">
        <x:v>13</x:v>
      </x:c>
      <x:c r="E264" s="7" t="str">
        <x:v>Are images properly resized; images are not stretched or shrunk?</x:v>
      </x:c>
      <x:c r="F264" s="7" t="str">
        <x:v>Uploaded: gws_checklist_2019-modee-v6.0-en-1.pdf</x:v>
      </x:c>
      <x:c r="G264" s="7" t="str">
        <x:v>Not checked</x:v>
      </x:c>
      <x:c r="H264" s="7" t="str"/>
      <x:c r="I264" s="7" t="str"/>
      <x:c r="J264" s="7" t="str"/>
      <x:c r="K264" s="7" t="str"/>
    </x:row>
    <x:row r="265">
      <x:c r="A265" s="7" t="str">
        <x:v>R.4.1-014</x:v>
      </x:c>
      <x:c r="B265" s="7" t="str">
        <x:v>Component 4 - Responsive Web Design</x:v>
      </x:c>
      <x:c r="C265" s="7" t="str">
        <x:v>R.4.1 Design for Mobile</x:v>
      </x:c>
      <x:c r="D265" s="7" t="n">
        <x:v>14</x:v>
      </x:c>
      <x:c r="E265" s="7" t="str">
        <x:v>Does resizing or cropping keep content images meaningful and properly displayed?</x:v>
      </x:c>
      <x:c r="F265" s="7" t="str">
        <x:v>Uploaded: gws_checklist_2019-modee-v6.0-en-1.pdf</x:v>
      </x:c>
      <x:c r="G265" s="7" t="str">
        <x:v>Not checked</x:v>
      </x:c>
      <x:c r="H265" s="7" t="str"/>
      <x:c r="I265" s="7" t="str"/>
      <x:c r="J265" s="7" t="str"/>
      <x:c r="K265" s="7" t="str"/>
    </x:row>
    <x:row r="266">
      <x:c r="A266" s="7" t="str">
        <x:v>R.4.1-015</x:v>
      </x:c>
      <x:c r="B266" s="7" t="str">
        <x:v>Component 4 - Responsive Web Design</x:v>
      </x:c>
      <x:c r="C266" s="7" t="str">
        <x:v>R.4.1 Design for Mobile</x:v>
      </x:c>
      <x:c r="D266" s="7" t="n">
        <x:v>15</x:v>
      </x:c>
      <x:c r="E266" s="7" t="str">
        <x:v>Are the buttons large enough to be tapped with a finger?</x:v>
      </x:c>
      <x:c r="F266" s="7" t="str">
        <x:v>Uploaded: gws_checklist_2019-modee-v6.0-en-1.pdf</x:v>
      </x:c>
      <x:c r="G266" s="7" t="str">
        <x:v>Not checked</x:v>
      </x:c>
      <x:c r="H266" s="7" t="str"/>
      <x:c r="I266" s="7" t="str"/>
      <x:c r="J266" s="7" t="str"/>
      <x:c r="K266" s="7" t="str"/>
    </x:row>
    <x:row r="267">
      <x:c r="A267" s="7" t="str">
        <x:v>R.4.1-016</x:v>
      </x:c>
      <x:c r="B267" s="7" t="str">
        <x:v>Component 4 - Responsive Web Design</x:v>
      </x:c>
      <x:c r="C267" s="7" t="str">
        <x:v>R.4.1 Design for Mobile</x:v>
      </x:c>
      <x:c r="D267" s="7" t="n">
        <x:v>16</x:v>
      </x:c>
      <x:c r="E267" s="7" t="str">
        <x:v>Do buttons have enough space between them, providing accurate clicking?</x:v>
      </x:c>
      <x:c r="F267" s="7" t="str">
        <x:v>Uploaded: gws_checklist_2019-modee-v6.0-en-1.pdf</x:v>
      </x:c>
      <x:c r="G267" s="7" t="str">
        <x:v>Not checked</x:v>
      </x:c>
      <x:c r="H267" s="7" t="str"/>
      <x:c r="I267" s="7" t="str"/>
      <x:c r="J267" s="7" t="str"/>
      <x:c r="K267" s="7" t="str"/>
    </x:row>
    <x:row r="268">
      <x:c r="A268" s="7" t="str">
        <x:v>R.4.1-017</x:v>
      </x:c>
      <x:c r="B268" s="7" t="str">
        <x:v>Component 4 - Responsive Web Design</x:v>
      </x:c>
      <x:c r="C268" s="7" t="str">
        <x:v>R.4.1 Design for Mobile</x:v>
      </x:c>
      <x:c r="D268" s="7" t="n">
        <x:v>17</x:v>
      </x:c>
      <x:c r="E268" s="7" t="str">
        <x:v>Does the buttons placement follow the Thumb-Zone Rule?</x:v>
      </x:c>
      <x:c r="F268" s="7" t="str">
        <x:v>Uploaded: gws_checklist_2019-modee-v6.0-en-1.pdf</x:v>
      </x:c>
      <x:c r="G268" s="7" t="str">
        <x:v>Not checked</x:v>
      </x:c>
      <x:c r="H268" s="7" t="str"/>
      <x:c r="I268" s="7" t="str"/>
      <x:c r="J268" s="7" t="str"/>
      <x:c r="K268" s="7" t="str"/>
    </x:row>
    <x:row r="269">
      <x:c r="A269" s="7" t="str">
        <x:v>R.4.2-018</x:v>
      </x:c>
      <x:c r="B269" s="7" t="str">
        <x:v>Component 4 - Responsive Web Design</x:v>
      </x:c>
      <x:c r="C269" s="7" t="str">
        <x:v>R.4.2 Content</x:v>
      </x:c>
      <x:c r="D269" s="7" t="n">
        <x:v>18</x:v>
      </x:c>
      <x:c r="E269" s="7" t="str">
        <x:v>Is the breadcrumb removed from all responsive design pages?</x:v>
      </x:c>
      <x:c r="F269" s="7" t="str">
        <x:v>Uploaded: gws_checklist_2019-modee-v6.0-en-1.pdf</x:v>
      </x:c>
      <x:c r="G269" s="7" t="str">
        <x:v>Not checked</x:v>
      </x:c>
      <x:c r="H269" s="7" t="str"/>
      <x:c r="I269" s="7" t="str"/>
      <x:c r="J269" s="7" t="str"/>
      <x:c r="K269" s="7" t="str"/>
    </x:row>
    <x:row r="270">
      <x:c r="A270" s="7" t="str">
        <x:v>R.4.2-019</x:v>
      </x:c>
      <x:c r="B270" s="7" t="str">
        <x:v>Component 4 - Responsive Web Design</x:v>
      </x:c>
      <x:c r="C270" s="7" t="str">
        <x:v>R.4.2 Content</x:v>
      </x:c>
      <x:c r="D270" s="7" t="n">
        <x:v>19</x:v>
      </x:c>
      <x:c r="E270" s="7" t="str">
        <x:v>Are page side menus removed from all responsive design pages?</x:v>
      </x:c>
      <x:c r="F270" s="7" t="str">
        <x:v>Uploaded: gws_checklist_2019-modee-v6.0-en-1.pdf</x:v>
      </x:c>
      <x:c r="G270" s="7" t="str">
        <x:v>Not checked</x:v>
      </x:c>
      <x:c r="H270" s="7" t="str"/>
      <x:c r="I270" s="7" t="str"/>
      <x:c r="J270" s="7" t="str"/>
      <x:c r="K270" s="7" t="str"/>
    </x:row>
    <x:row r="271">
      <x:c r="A271" s="7" t="str">
        <x:v>R.4.2-020</x:v>
      </x:c>
      <x:c r="B271" s="7" t="str">
        <x:v>Component 4 - Responsive Web Design</x:v>
      </x:c>
      <x:c r="C271" s="7" t="str">
        <x:v>R.4.2 Content</x:v>
      </x:c>
      <x:c r="D271" s="7" t="n">
        <x:v>20</x:v>
      </x:c>
      <x:c r="E271" s="7" t="str">
        <x:v>Are ads banners removed from all responsive design pages?</x:v>
      </x:c>
      <x:c r="F271" s="7" t="str">
        <x:v>Uploaded: gws_checklist_2019-modee-v6.0-en-1.pdf</x:v>
      </x:c>
      <x:c r="G271" s="7" t="str">
        <x:v>Not checked</x:v>
      </x:c>
      <x:c r="H271" s="7" t="str"/>
      <x:c r="I271" s="7" t="str"/>
      <x:c r="J271" s="7" t="str"/>
      <x:c r="K271" s="7" t="str"/>
    </x:row>
    <x:row r="272">
      <x:c r="A272" s="7" t="str">
        <x:v>R.4.2-021</x:v>
      </x:c>
      <x:c r="B272" s="7" t="str">
        <x:v>Component 4 - Responsive Web Design</x:v>
      </x:c>
      <x:c r="C272" s="7" t="str">
        <x:v>R.4.2 Content</x:v>
      </x:c>
      <x:c r="D272" s="7" t="n">
        <x:v>21</x:v>
      </x:c>
      <x:c r="E272" s="7" t="str">
        <x:v>Are empty spaces within the content increased for more text readability?</x:v>
      </x:c>
      <x:c r="F272" s="7" t="str">
        <x:v>Uploaded: gws_checklist_2019-modee-v6.0-en-1.pdf</x:v>
      </x:c>
      <x:c r="G272" s="7" t="str">
        <x:v>Not checked</x:v>
      </x:c>
      <x:c r="H272" s="7" t="str"/>
      <x:c r="I272" s="7" t="str"/>
      <x:c r="J272" s="7" t="str"/>
      <x:c r="K272" s="7" t="str"/>
    </x:row>
    <x:row r="273">
      <x:c r="A273" s="7" t="str">
        <x:v>R.4.2-001</x:v>
      </x:c>
      <x:c r="B273" s="7" t="str">
        <x:v>Component 5 - Security</x:v>
      </x:c>
      <x:c r="C273" s="7" t="str">
        <x:v>R.4.2 Content</x:v>
      </x:c>
      <x:c r="D273" s="7" t="n">
        <x:v>1</x:v>
      </x:c>
      <x:c r="E273" s="7" t="str">
        <x:v>Is a vulnerability assessment performed on the websites annually?</x:v>
      </x:c>
      <x:c r="F273" s="7" t="str">
        <x:v>Uploaded: gws_checklist_2019-modee-v6.0-en-1.pdf</x:v>
      </x:c>
      <x:c r="G273" s="7" t="str">
        <x:v>Not checked</x:v>
      </x:c>
      <x:c r="H273" s="7" t="str"/>
      <x:c r="I273" s="7" t="str"/>
      <x:c r="J273" s="7" t="str"/>
      <x:c r="K273" s="7" t="str"/>
    </x:row>
    <x:row r="274">
      <x:c r="A274" s="7" t="str">
        <x:v>S.5.1-002</x:v>
      </x:c>
      <x:c r="B274" s="7" t="str">
        <x:v>Component 5 - Security</x:v>
      </x:c>
      <x:c r="C274" s="7" t="str">
        <x:v>S.5.1 OWASP Top 10</x:v>
      </x:c>
      <x:c r="D274" s="7" t="n">
        <x:v>2</x:v>
      </x:c>
      <x:c r="E274" s="7" t="str">
        <x:v>Is the website protected and secured against OWASP Top 10? - Injection Attacks - Broken Authentication - Sensitive Data Exposure - Broken Access Control - Security Misconfiguration - Cross-Site Scripting - Insecure Deserialization - Using Components with Known Vulnerabilities - Insufficient Logging and Monitoring</x:v>
      </x:c>
      <x:c r="F274" s="7" t="str">
        <x:v>Uploaded: gws_checklist_2019-modee-v6.0-en-1.pdf</x:v>
      </x:c>
      <x:c r="G274" s="7" t="str">
        <x:v>Not checked</x:v>
      </x:c>
      <x:c r="H274" s="7" t="str"/>
      <x:c r="I274" s="7" t="str"/>
      <x:c r="J274" s="7" t="str"/>
      <x:c r="K274" s="7" t="str"/>
    </x:row>
    <x:row r="275">
      <x:c r="A275" s="7" t="str">
        <x:v>S.5.2-003</x:v>
      </x:c>
      <x:c r="B275" s="7" t="str">
        <x:v>Component 5 - Security</x:v>
      </x:c>
      <x:c r="C275" s="7" t="str">
        <x:v>S.5.2 HTTPS protocol</x:v>
      </x:c>
      <x:c r="D275" s="7" t="n">
        <x:v>3</x:v>
      </x:c>
      <x:c r="E275" s="7" t="str">
        <x:v>Does the website use HTTPS protocol?</x:v>
      </x:c>
      <x:c r="F275" s="7" t="str">
        <x:v>Uploaded: gws_checklist_2019-modee-v6.0-en-1.pdf</x:v>
      </x:c>
      <x:c r="G275" s="7" t="str">
        <x:v>Not checked</x:v>
      </x:c>
      <x:c r="H275" s="7" t="str"/>
      <x:c r="I275" s="7" t="str"/>
      <x:c r="J275" s="7" t="str"/>
      <x:c r="K275" s="7" t="str"/>
    </x:row>
    <x:row r="276">
      <x:c r="A276" s="7" t="str">
        <x:v>S.5.2-004</x:v>
      </x:c>
      <x:c r="B276" s="7" t="str">
        <x:v>Component 5 - Security</x:v>
      </x:c>
      <x:c r="C276" s="7" t="str">
        <x:v>S.5.2 HTTPS protocol</x:v>
      </x:c>
      <x:c r="D276" s="7" t="n">
        <x:v>4</x:v>
      </x:c>
      <x:c r="E276" s="7" t="str">
        <x:v>Is HTTPS certificate renewed annually?</x:v>
      </x:c>
      <x:c r="F276" s="7" t="str">
        <x:v>Uploaded: gws_checklist_2019-modee-v6.0-en-1.pdf</x:v>
      </x:c>
      <x:c r="G276" s="7" t="str">
        <x:v>Not checked</x:v>
      </x:c>
      <x:c r="H276" s="7" t="str"/>
      <x:c r="I276" s="7" t="str"/>
      <x:c r="J276" s="7" t="str"/>
      <x:c r="K276" s="7" t="str"/>
    </x:row>
    <x:row r="277">
      <x:c r="A277" s="7" t="str">
        <x:v>S.5.3-005</x:v>
      </x:c>
      <x:c r="B277" s="7" t="str">
        <x:v>Component 5 - Security</x:v>
      </x:c>
      <x:c r="C277" s="7" t="str">
        <x:v>S.5.3 Software Updates</x:v>
      </x:c>
      <x:c r="D277" s="7" t="n">
        <x:v>5</x:v>
      </x:c>
      <x:c r="E277" s="7" t="str">
        <x:v>Is the Content Management System constantly updated?</x:v>
      </x:c>
      <x:c r="F277" s="7" t="str">
        <x:v>Uploaded: gws_checklist_2019-modee-v6.0-en-1.pdf</x:v>
      </x:c>
      <x:c r="G277" s="7" t="str">
        <x:v>Not checked</x:v>
      </x:c>
      <x:c r="H277" s="7" t="str"/>
      <x:c r="I277" s="7" t="str"/>
      <x:c r="J277" s="7" t="str"/>
      <x:c r="K277" s="7" t="str"/>
    </x:row>
    <x:row r="278">
      <x:c r="A278" s="7" t="str">
        <x:v>S.5.3-006</x:v>
      </x:c>
      <x:c r="B278" s="7" t="str">
        <x:v>Component 5 - Security</x:v>
      </x:c>
      <x:c r="C278" s="7" t="str">
        <x:v>S.5.3 Software Updates</x:v>
      </x:c>
      <x:c r="D278" s="7" t="n">
        <x:v>6</x:v>
      </x:c>
      <x:c r="E278" s="7" t="str">
        <x:v>Are CMS plugins and 3rd party components always updated?</x:v>
      </x:c>
      <x:c r="F278" s="7" t="str">
        <x:v>Uploaded: gws_checklist_2019-modee-v6.0-en-1.pdf</x:v>
      </x:c>
      <x:c r="G278" s="7" t="str">
        <x:v>Not checked</x:v>
      </x:c>
      <x:c r="H278" s="7" t="str"/>
      <x:c r="I278" s="7" t="str"/>
      <x:c r="J278" s="7" t="str"/>
      <x:c r="K278" s="7" t="str"/>
    </x:row>
    <x:row r="279">
      <x:c r="A279" s="7" t="str">
        <x:v>S.5.3-007</x:v>
      </x:c>
      <x:c r="B279" s="7" t="str">
        <x:v>Component 5 - Security</x:v>
      </x:c>
      <x:c r="C279" s="7" t="str">
        <x:v>S.5.3 Software Updates</x:v>
      </x:c>
      <x:c r="D279" s="7" t="n">
        <x:v>7</x:v>
      </x:c>
      <x:c r="E279" s="7" t="str">
        <x:v>Are hosting services updates and patches installed once they’re released?</x:v>
      </x:c>
      <x:c r="F279" s="7" t="str">
        <x:v>Uploaded: gws_checklist_2019-modee-v6.0-en-1.pdf</x:v>
      </x:c>
      <x:c r="G279" s="7" t="str">
        <x:v>Not checked</x:v>
      </x:c>
      <x:c r="H279" s="7" t="str"/>
      <x:c r="I279" s="7" t="str"/>
      <x:c r="J279" s="7" t="str"/>
      <x:c r="K279" s="7" t="str"/>
    </x:row>
    <x:row r="280">
      <x:c r="A280" s="7" t="str">
        <x:v>S.5.4-008</x:v>
      </x:c>
      <x:c r="B280" s="7" t="str">
        <x:v>Component 5 - Security</x:v>
      </x:c>
      <x:c r="C280" s="7" t="str">
        <x:v>S.5.4 Restrict File Uploads</x:v>
      </x:c>
      <x:c r="D280" s="7" t="n">
        <x:v>8</x:v>
      </x:c>
      <x:c r="E280" s="7" t="str">
        <x:v>Regarding files uploaded by visitors, does the website impose extension restrictions?</x:v>
      </x:c>
      <x:c r="F280" s="7" t="str">
        <x:v>Uploaded: gws_checklist_2019-modee-v6.0-en-1.pdf</x:v>
      </x:c>
      <x:c r="G280" s="7" t="str">
        <x:v>Not checked</x:v>
      </x:c>
      <x:c r="H280" s="7" t="str"/>
      <x:c r="I280" s="7" t="str"/>
      <x:c r="J280" s="7" t="str"/>
      <x:c r="K280" s="7" t="str"/>
    </x:row>
    <x:row r="281">
      <x:c r="A281" s="7" t="str">
        <x:v>S.5.4-009</x:v>
      </x:c>
      <x:c r="B281" s="7" t="str">
        <x:v>Component 5 - Security</x:v>
      </x:c>
      <x:c r="C281" s="7" t="str">
        <x:v>S.5.4 Restrict File Uploads</x:v>
      </x:c>
      <x:c r="D281" s="7" t="n">
        <x:v>9</x:v>
      </x:c>
      <x:c r="E281" s="7" t="str">
        <x:v>Are files uploaded by visitors stored in separated folders and databases?</x:v>
      </x:c>
      <x:c r="F281" s="7" t="str">
        <x:v>Uploaded: gws_checklist_2019-modee-v6.0-en-1.pdf</x:v>
      </x:c>
      <x:c r="G281" s="7" t="str">
        <x:v>Not checked</x:v>
      </x:c>
      <x:c r="H281" s="7" t="str"/>
      <x:c r="I281" s="7" t="str"/>
      <x:c r="J281" s="7" t="str"/>
      <x:c r="K281" s="7" t="str"/>
    </x:row>
    <x:row r="282">
      <x:c r="A282" s="7" t="str">
        <x:v>S.5.4-010</x:v>
      </x:c>
      <x:c r="B282" s="7" t="str">
        <x:v>Component 5 - Security</x:v>
      </x:c>
      <x:c r="C282" s="7" t="str">
        <x:v>S.5.4 Restrict File Uploads</x:v>
      </x:c>
      <x:c r="D282" s="7" t="n">
        <x:v>10</x:v>
      </x:c>
      <x:c r="E282" s="7" t="str">
        <x:v>Are executable files banned?</x:v>
      </x:c>
      <x:c r="F282" s="7" t="str">
        <x:v>Uploaded: gws_checklist_2019-modee-v6.0-en-1.pdf</x:v>
      </x:c>
      <x:c r="G282" s="7" t="str">
        <x:v>Not checked</x:v>
      </x:c>
      <x:c r="H282" s="7" t="str"/>
      <x:c r="I282" s="7" t="str"/>
      <x:c r="J282" s="7" t="str"/>
      <x:c r="K282" s="7" t="str"/>
    </x:row>
    <x:row r="283">
      <x:c r="A283" s="7" t="str">
        <x:v>S.5.4-011</x:v>
      </x:c>
      <x:c r="B283" s="7" t="str">
        <x:v>Component 5 - Security</x:v>
      </x:c>
      <x:c r="C283" s="7" t="str">
        <x:v>S.5.4 Restrict File Uploads</x:v>
      </x:c>
      <x:c r="D283" s="7" t="n">
        <x:v>11</x:v>
      </x:c>
      <x:c r="E283" s="7" t="str">
        <x:v>Are double extension files banned?</x:v>
      </x:c>
      <x:c r="F283" s="7" t="str">
        <x:v>Uploaded: gws_checklist_2019-modee-v6.0-en-1.pdf</x:v>
      </x:c>
      <x:c r="G283" s="7" t="str">
        <x:v>Not checked</x:v>
      </x:c>
      <x:c r="H283" s="7" t="str"/>
      <x:c r="I283" s="7" t="str"/>
      <x:c r="J283" s="7" t="str"/>
      <x:c r="K283" s="7" t="str"/>
    </x:row>
    <x:row r="284">
      <x:c r="A284" s="7" t="str">
        <x:v>S.5.5-012</x:v>
      </x:c>
      <x:c r="B284" s="7" t="str">
        <x:v>Component 5 - Security</x:v>
      </x:c>
      <x:c r="C284" s="7" t="str">
        <x:v>S.5.5 Using Captcha</x:v>
      </x:c>
      <x:c r="D284" s="7" t="n">
        <x:v>12</x:v>
      </x:c>
      <x:c r="E284" s="7" t="str">
        <x:v>Do forms contain reCAPTCHA v2.0 by Google?</x:v>
      </x:c>
      <x:c r="F284" s="7" t="str">
        <x:v>Uploaded: gws_checklist_2019-modee-v6.0-en-1.pdf</x:v>
      </x:c>
      <x:c r="G284" s="7" t="str">
        <x:v>Not checked</x:v>
      </x:c>
      <x:c r="H284" s="7" t="str"/>
      <x:c r="I284" s="7" t="str"/>
      <x:c r="J284" s="7" t="str"/>
      <x:c r="K284" s="7" t="str"/>
    </x:row>
    <x:row r="285">
      <x:c r="A285" s="7" t="str">
        <x:v>S.5.5-013</x:v>
      </x:c>
      <x:c r="B285" s="7" t="str">
        <x:v>Component 5 - Security</x:v>
      </x:c>
      <x:c r="C285" s="7" t="str">
        <x:v>S.5.5 Using Captcha</x:v>
      </x:c>
      <x:c r="D285" s="7" t="n">
        <x:v>13</x:v>
      </x:c>
      <x:c r="E285" s="7" t="str">
        <x:v>Is passing reCAPTCHA mandatory before submission?</x:v>
      </x:c>
      <x:c r="F285" s="7" t="str">
        <x:v>Uploaded: gws_checklist_2019-modee-v6.0-en-1.pdf</x:v>
      </x:c>
      <x:c r="G285" s="7" t="str">
        <x:v>Not checked</x:v>
      </x:c>
      <x:c r="H285" s="7" t="str"/>
      <x:c r="I285" s="7" t="str"/>
      <x:c r="J285" s="7" t="str"/>
      <x:c r="K285" s="7" t="str"/>
    </x:row>
    <x:row r="286">
      <x:c r="A286" s="7" t="str">
        <x:v>S.5.6-014</x:v>
      </x:c>
      <x:c r="B286" s="7" t="str">
        <x:v>Component 5 - Security</x:v>
      </x:c>
      <x:c r="C286" s="7" t="str">
        <x:v>S.5.6 Users Passwords</x:v>
      </x:c>
      <x:c r="D286" s="7" t="n">
        <x:v>14</x:v>
      </x:c>
      <x:c r="E286" s="7" t="str">
        <x:v>Does the website configure a strong password policy and provide strong password setting guides? For example, 8 4 Rule.</x:v>
      </x:c>
      <x:c r="F286" s="7" t="str">
        <x:v>Uploaded: gws_checklist_2019-modee-v6.0-en-1.pdf</x:v>
      </x:c>
      <x:c r="G286" s="7" t="str">
        <x:v>Not checked</x:v>
      </x:c>
      <x:c r="H286" s="7" t="str"/>
      <x:c r="I286" s="7" t="str"/>
      <x:c r="J286" s="7" t="str"/>
      <x:c r="K286" s="7" t="str"/>
    </x:row>
    <x:row r="287">
      <x:c r="A287" s="7" t="str">
        <x:v>S.5.6-015</x:v>
      </x:c>
      <x:c r="B287" s="7" t="str">
        <x:v>Component 5 - Security</x:v>
      </x:c>
      <x:c r="C287" s="7" t="str">
        <x:v>S.5.6 Users Passwords</x:v>
      </x:c>
      <x:c r="D287" s="7" t="n">
        <x:v>15</x:v>
      </x:c>
      <x:c r="E287" s="7" t="str">
        <x:v>Are passwords stored as encrypted values?</x:v>
      </x:c>
      <x:c r="F287" s="7" t="str">
        <x:v>Uploaded: gws_checklist_2019-modee-v6.0-en-1.pdf</x:v>
      </x:c>
      <x:c r="G287" s="7" t="str">
        <x:v>Not checked</x:v>
      </x:c>
      <x:c r="H287" s="7" t="str"/>
      <x:c r="I287" s="7" t="str"/>
      <x:c r="J287" s="7" t="str"/>
      <x:c r="K287" s="7" t="str"/>
    </x:row>
    <x:row r="288">
      <x:c r="A288" s="7" t="str">
        <x:v>S.5.6-016</x:v>
      </x:c>
      <x:c r="B288" s="7" t="str">
        <x:v>Component 5 - Security</x:v>
      </x:c>
      <x:c r="C288" s="7" t="str">
        <x:v>S.5.6 Users Passwords</x:v>
      </x:c>
      <x:c r="D288" s="7" t="n">
        <x:v>16</x:v>
      </x:c>
      <x:c r="E288" s="7" t="str">
        <x:v>Does the account get periodically locked after three failed logins?</x:v>
      </x:c>
      <x:c r="F288" s="7" t="str">
        <x:v>Uploaded: gws_checklist_2019-modee-v6.0-en-1.pdf</x:v>
      </x:c>
      <x:c r="G288" s="7" t="str">
        <x:v>Not checked</x:v>
      </x:c>
      <x:c r="H288" s="7" t="str"/>
      <x:c r="I288" s="7" t="str"/>
      <x:c r="J288" s="7" t="str"/>
      <x:c r="K288" s="7" t="str"/>
    </x:row>
    <x:row r="289">
      <x:c r="A289" s="7" t="str">
        <x:v>S.5.7-017</x:v>
      </x:c>
      <x:c r="B289" s="7" t="str">
        <x:v>Component 5 - Security</x:v>
      </x:c>
      <x:c r="C289" s="7" t="str">
        <x:v>S.5.7 Viruses and Malware</x:v>
      </x:c>
      <x:c r="D289" s="7" t="n">
        <x:v>17</x:v>
      </x:c>
      <x:c r="E289" s="7" t="str">
        <x:v>Are the website and hosting environment protected from viruses and malwares?</x:v>
      </x:c>
      <x:c r="F289" s="7" t="str">
        <x:v>Uploaded: gws_checklist_2019-modee-v6.0-en-1.pdf</x:v>
      </x:c>
      <x:c r="G289" s="7" t="str">
        <x:v>Not checked</x:v>
      </x:c>
      <x:c r="H289" s="7" t="str"/>
      <x:c r="I289" s="7" t="str"/>
      <x:c r="J289" s="7" t="str"/>
      <x:c r="K289" s="7" t="str"/>
    </x:row>
    <x:row r="290">
      <x:c r="A290" s="7" t="str">
        <x:v>S.5.8-018</x:v>
      </x:c>
      <x:c r="B290" s="7" t="str">
        <x:v>Component 5 - Security</x:v>
      </x:c>
      <x:c r="C290" s="7" t="str">
        <x:v>S.5.8 Adjust Default Settings</x:v>
      </x:c>
      <x:c r="D290" s="7" t="n">
        <x:v>18</x:v>
      </x:c>
      <x:c r="E290" s="7" t="str">
        <x:v>Are account configuration default settings changed for both the hosting environment and content management system?</x:v>
      </x:c>
      <x:c r="F290" s="7" t="str">
        <x:v>Uploaded: gws_checklist_2019-modee-v6.0-en-1.pdf</x:v>
      </x:c>
      <x:c r="G290" s="7" t="str">
        <x:v>Not checked</x:v>
      </x:c>
      <x:c r="H290" s="7" t="str"/>
      <x:c r="I290" s="7" t="str"/>
      <x:c r="J290" s="7" t="str"/>
      <x:c r="K290" s="7" t="str"/>
    </x:row>
    <x:row r="291">
      <x:c r="A291" s="7" t="str">
        <x:v>S.5.9-019</x:v>
      </x:c>
      <x:c r="B291" s="7" t="str">
        <x:v>Component 5 - Security</x:v>
      </x:c>
      <x:c r="C291" s="7" t="str">
        <x:v>S.5.9 Error Messages</x:v>
      </x:c>
      <x:c r="D291" s="7" t="n">
        <x:v>19</x:v>
      </x:c>
      <x:c r="E291" s="7" t="str">
        <x:v>Does the error message display information that the visitor actually need, without revealing the structure of any component of the website?</x:v>
      </x:c>
      <x:c r="F291" s="7" t="str">
        <x:v>Uploaded: gws_checklist_2019-modee-v6.0-en-1.pdf</x:v>
      </x:c>
      <x:c r="G291" s="7" t="str">
        <x:v>Not checked</x:v>
      </x:c>
      <x:c r="H291" s="7" t="str"/>
      <x:c r="I291" s="7" t="str"/>
      <x:c r="J291" s="7" t="str"/>
      <x:c r="K291" s="7" t="str"/>
    </x:row>
    <x:row r="292">
      <x:c r="A292" s="7" t="str">
        <x:v>S.5.9-020</x:v>
      </x:c>
      <x:c r="B292" s="7" t="str">
        <x:v>Component 5 - Security</x:v>
      </x:c>
      <x:c r="C292" s="7" t="str">
        <x:v>S.5.9 Error Messages</x:v>
      </x:c>
      <x:c r="D292" s="7" t="n">
        <x:v>20</x:v>
      </x:c>
      <x:c r="E292" s="7" t="str">
        <x:v>Are detailed errors kept in the server log?</x:v>
      </x:c>
      <x:c r="F292" s="7" t="str">
        <x:v>Uploaded: gws_checklist_2019-modee-v6.0-en-1.pdf</x:v>
      </x:c>
      <x:c r="G292" s="7" t="str">
        <x:v>Not checked</x:v>
      </x:c>
      <x:c r="H292" s="7" t="str"/>
      <x:c r="I292" s="7" t="str"/>
      <x:c r="J292" s="7" t="str"/>
      <x:c r="K292" s="7" t="str"/>
    </x:row>
    <x:row r="293">
      <x:c r="A293" s="7" t="str">
        <x:v>S.5.10-021</x:v>
      </x:c>
      <x:c r="B293" s="7" t="str">
        <x:v>Component 5 - Security</x:v>
      </x:c>
      <x:c r="C293" s="7" t="str">
        <x:v>S.5.10. Secure APIs</x:v>
      </x:c>
      <x:c r="D293" s="7" t="n">
        <x:v>21</x:v>
      </x:c>
      <x:c r="E293" s="7" t="str">
        <x:v>Do APIs use HTTPS?</x:v>
      </x:c>
      <x:c r="F293" s="7" t="str">
        <x:v>Uploaded: gws_checklist_2019-modee-v6.0-en-1.pdf</x:v>
      </x:c>
      <x:c r="G293" s="7" t="str">
        <x:v>Not checked</x:v>
      </x:c>
      <x:c r="H293" s="7" t="str"/>
      <x:c r="I293" s="7" t="str"/>
      <x:c r="J293" s="7" t="str"/>
      <x:c r="K293" s="7" t="str"/>
    </x:row>
    <x:row r="294">
      <x:c r="A294" s="7" t="str">
        <x:v>S.5.10-022</x:v>
      </x:c>
      <x:c r="B294" s="7" t="str">
        <x:v>Component 5 - Security</x:v>
      </x:c>
      <x:c r="C294" s="7" t="str">
        <x:v>S.5.10. Secure APIs</x:v>
      </x:c>
      <x:c r="D294" s="7" t="n">
        <x:v>22</x:v>
      </x:c>
      <x:c r="E294" s="7" t="str">
        <x:v>Does the API Use OAuth?</x:v>
      </x:c>
      <x:c r="F294" s="7" t="str">
        <x:v>Uploaded: gws_checklist_2019-modee-v6.0-en-1.pdf</x:v>
      </x:c>
      <x:c r="G294" s="7" t="str">
        <x:v>Not checked</x:v>
      </x:c>
      <x:c r="H294" s="7" t="str"/>
      <x:c r="I294" s="7" t="str"/>
      <x:c r="J294" s="7" t="str"/>
      <x:c r="K294" s="7" t="str"/>
    </x:row>
    <x:row r="295">
      <x:c r="A295" s="7" t="str">
        <x:v>S.5.10-023</x:v>
      </x:c>
      <x:c r="B295" s="7" t="str">
        <x:v>Component 5 - Security</x:v>
      </x:c>
      <x:c r="C295" s="7" t="str">
        <x:v>S.5.10. Secure APIs</x:v>
      </x:c>
      <x:c r="D295" s="7" t="n">
        <x:v>23</x:v>
      </x:c>
      <x:c r="E295" s="7" t="str">
        <x:v>Does the tokens have an expiration time?</x:v>
      </x:c>
      <x:c r="F295" s="7" t="str">
        <x:v>Uploaded: gws_checklist_2019-modee-v6.0-en-1.pdf</x:v>
      </x:c>
      <x:c r="G295" s="7" t="str">
        <x:v>Not checked</x:v>
      </x:c>
      <x:c r="H295" s="7" t="str"/>
      <x:c r="I295" s="7" t="str"/>
      <x:c r="J295" s="7" t="str"/>
      <x:c r="K295" s="7" t="str"/>
    </x:row>
    <x:row r="296">
      <x:c r="A296" s="7" t="str">
        <x:v>S.5.10-024</x:v>
      </x:c>
      <x:c r="B296" s="7" t="str">
        <x:v>Component 5 - Security</x:v>
      </x:c>
      <x:c r="C296" s="7" t="str">
        <x:v>S.5.10. Secure APIs</x:v>
      </x:c>
      <x:c r="D296" s="7" t="n">
        <x:v>24</x:v>
      </x:c>
      <x:c r="E296" s="7" t="str">
        <x:v>Does the API have a limitation on how many times the client is allowed to call it?</x:v>
      </x:c>
      <x:c r="F296" s="7" t="str">
        <x:v>Uploaded: gws_checklist_2019-modee-v6.0-en-1.pdf</x:v>
      </x:c>
      <x:c r="G296" s="7" t="str">
        <x:v>Not checked</x:v>
      </x:c>
      <x:c r="H296" s="7" t="str"/>
      <x:c r="I296" s="7" t="str"/>
      <x:c r="J296" s="7" t="str"/>
      <x:c r="K296" s="7" t="str"/>
    </x:row>
    <x:row r="297">
      <x:c r="A297" s="7" t="str">
        <x:v>S.5.10-025</x:v>
      </x:c>
      <x:c r="B297" s="7" t="str">
        <x:v>Component 5 - Security</x:v>
      </x:c>
      <x:c r="C297" s="7" t="str">
        <x:v>S.5.10. Secure APIs</x:v>
      </x:c>
      <x:c r="D297" s="7" t="n">
        <x:v>25</x:v>
      </x:c>
      <x:c r="E297" s="7" t="str">
        <x:v>Are parameters always validated?</x:v>
      </x:c>
      <x:c r="F297" s="7" t="str">
        <x:v>Uploaded: gws_checklist_2019-modee-v6.0-en-1.pdf</x:v>
      </x:c>
      <x:c r="G297" s="7" t="str">
        <x:v>Not checked</x:v>
      </x:c>
      <x:c r="H297" s="7" t="str"/>
      <x:c r="I297" s="7" t="str"/>
      <x:c r="J297" s="7" t="str"/>
      <x:c r="K297" s="7" t="str"/>
    </x:row>
    <x:row r="298">
      <x:c r="A298" s="7" t="str">
        <x:v>S.5.10-026</x:v>
      </x:c>
      <x:c r="B298" s="7" t="str">
        <x:v>Component 5 - Security</x:v>
      </x:c>
      <x:c r="C298" s="7" t="str">
        <x:v>S.5.10. Secure APIs</x:v>
      </x:c>
      <x:c r="D298" s="7" t="n">
        <x:v>26</x:v>
      </x:c>
      <x:c r="E298" s="7" t="str">
        <x:v>Are IDs opaque and globally unique? For example, rather than using the ID “1002 “and “1003 “use “r5t844fsg6fssf2vfrb9bd8”.</x:v>
      </x:c>
      <x:c r="F298" s="7" t="str">
        <x:v>Uploaded: gws_checklist_2019-modee-v6.0-en-1.pdf</x:v>
      </x:c>
      <x:c r="G298" s="7" t="str">
        <x:v>Not checked</x:v>
      </x:c>
      <x:c r="H298" s="7" t="str"/>
      <x:c r="I298" s="7" t="str"/>
      <x:c r="J298" s="7" t="str"/>
      <x:c r="K298" s="7" t="str"/>
    </x:row>
    <x:row r="299">
      <x:c r="A299" s="7" t="str">
        <x:v>S.5.10-027</x:v>
      </x:c>
      <x:c r="B299" s="7" t="str">
        <x:v>Component 5 - Security</x:v>
      </x:c>
      <x:c r="C299" s="7" t="str">
        <x:v>S.5.10. Secure APIs</x:v>
      </x:c>
      <x:c r="D299" s="7" t="n">
        <x:v>27</x:v>
      </x:c>
      <x:c r="E299" s="7" t="str">
        <x:v>Is the IP address filtered, where the API IP address can be only accessed for certain IPs?</x:v>
      </x:c>
      <x:c r="F299" s="7" t="str">
        <x:v>Uploaded: gws_checklist_2019-modee-v6.0-en-1.pdf</x:v>
      </x:c>
      <x:c r="G299" s="7" t="str">
        <x:v>Not checked</x:v>
      </x:c>
      <x:c r="H299" s="7" t="str"/>
      <x:c r="I299" s="7" t="str"/>
      <x:c r="J299" s="7" t="str"/>
      <x:c r="K299" s="7" t="str"/>
    </x:row>
    <x:row r="300">
      <x:c r="A300" s="7" t="str">
        <x:v>S.5.10-028</x:v>
      </x:c>
      <x:c r="B300" s="7" t="str">
        <x:v>Component 5 - Security</x:v>
      </x:c>
      <x:c r="C300" s="7" t="str">
        <x:v>S.5.10. Secure APIs</x:v>
      </x:c>
      <x:c r="D300" s="7" t="n">
        <x:v>28</x:v>
      </x:c>
      <x:c r="E300" s="7" t="str">
        <x:v>Is Timestamp added in the Request, where it only accepts requests within a reasonable timeframe?</x:v>
      </x:c>
      <x:c r="F300" s="7" t="str">
        <x:v>Uploaded: gws_checklist_2019-modee-v6.0-en-1.pdf</x:v>
      </x:c>
      <x:c r="G300" s="7" t="str">
        <x:v>Not checked</x:v>
      </x:c>
      <x:c r="H300" s="7" t="str"/>
      <x:c r="I300" s="7" t="str"/>
      <x:c r="J300" s="7" t="str"/>
      <x:c r="K300" s="7" t="str"/>
    </x:row>
    <x:row r="301">
      <x:c r="A301" s="7" t="str">
        <x:v>S.5.10-029</x:v>
      </x:c>
      <x:c r="B301" s="7" t="str">
        <x:v>Component 5 - Security</x:v>
      </x:c>
      <x:c r="C301" s="7" t="str">
        <x:v>S.5.10. Secure APIs</x:v>
      </x:c>
      <x:c r="D301" s="7" t="n">
        <x:v>29</x:v>
      </x:c>
      <x:c r="E301" s="7" t="str">
        <x:v>Is the URL free of exposed information? For example: Usernames, passwords, session tokens, API keys, etc...</x:v>
      </x:c>
      <x:c r="F301" s="7" t="str">
        <x:v>Uploaded: gws_checklist_2019-modee-v6.0-en-1.pdf</x:v>
      </x:c>
      <x:c r="G301" s="7" t="str">
        <x:v>Not checked</x:v>
      </x:c>
      <x:c r="H301" s="7" t="str"/>
      <x:c r="I301" s="7" t="str"/>
      <x:c r="J301" s="7" t="str"/>
      <x:c r="K301" s="7" t="str"/>
    </x:row>
  </x:sheetData>
  <x:conditionalFormatting sqref="G2:G301">
    <x:cfRule type="expression" dxfId="4" priority="1">
      <x:formula>G2="Match"</x:formula>
    </x:cfRule>
    <x:cfRule type="expression" dxfId="5" priority="2">
      <x:formula>G2="Partial"</x:formula>
    </x:cfRule>
    <x:cfRule type="expression" dxfId="6" priority="3">
      <x:formula>G2="Mismatch"</x:formula>
    </x:cfRule>
    <x:cfRule type="expression" dxfId="7" priority="4">
      <x:formula>G2="Deferred"</x:formula>
    </x:cfRule>
  </x:conditionalFormatting>
  <x:dataValidations count="1">
    <x:dataValidation type="list" sqref="G2:G301">
      <x:formula1>Lists!$A$2:$A$7</x:formula1>
    </x:dataValidation>
  </x:dataValidations>
  <x:pageMargins left="0.7" right="0.7" top="0.75" bottom="0.75" header="0.3" footer="0.3"/>
  <x:tableParts count="1">
    <x:tablePart xmlns:r="http://schemas.openxmlformats.org/officeDocument/2006/relationships" r:id="R9645a240f02b4938"/>
  </x:tableParts>
</x:worksheet>
</file>

<file path=xl/worksheets/sheet4.xml><?xml version="1.0" encoding="utf-8"?>
<x:worksheet xmlns:x="http://schemas.openxmlformats.org/spreadsheetml/2006/main">
  <x:sheetFormatPr defaultRowHeight="15"/>
  <x:cols>
    <x:col min="1" max="1" width="22" hidden="0" customWidth="1"/>
    <x:col min="2" max="2" width="44" hidden="0" customWidth="1"/>
    <x:col min="3" max="3" width="90" hidden="0" customWidth="1"/>
    <x:col min="4" max="4" width="28" hidden="0" customWidth="1"/>
  </x:cols>
  <x:sheetData>
    <x:row r="1" ht="28" customHeight="1">
      <x:c r="A1" s="10" t="str">
        <x:v>Area</x:v>
      </x:c>
      <x:c r="B1" s="10" t="str">
        <x:v>What to collect from D:\Final Version</x:v>
      </x:c>
      <x:c r="C1" s="10" t="str">
        <x:v>Suggested local command / evidence</x:v>
      </x:c>
      <x:c r="D1" s="10" t="str">
        <x:v>Use for checklist IDs</x:v>
      </x:c>
    </x:row>
    <x:row r="2">
      <x:c r="A2" s="7" t="str">
        <x:v>Project inventory</x:v>
      </x:c>
      <x:c r="B2" s="7" t="str">
        <x:v>Complete file tree and file list</x:v>
      </x:c>
      <x:c r="C2" s="7" t="str">
        <x:v>cd "D:\Final Version"; tree /F /A &gt; kinjo_file_tree.txt; Get-ChildItem -Recurse -File | Select FullName,Length,LastWriteTime | Export-Csv kinjo_inventory.csv -NoTypeInformation</x:v>
      </x:c>
      <x:c r="D2" s="7" t="str">
        <x:v>All</x:v>
      </x:c>
    </x:row>
    <x:row r="3">
      <x:c r="A3" s="7" t="str">
        <x:v>Dependencies</x:v>
      </x:c>
      <x:c r="B3" s="7" t="str">
        <x:v>Dependency manifests and vulnerabilities</x:v>
      </x:c>
      <x:c r="C3" s="7" t="str">
        <x:v>Look for requirements.txt, pyproject.toml, package.json, composer.json, *.lock. Run the project-specific audit command such as npm audit / pip-audit / composer audit where applicable.</x:v>
      </x:c>
      <x:c r="D3" s="7" t="str">
        <x:v>K-PR-03, K-SEC-03</x:v>
      </x:c>
    </x:row>
    <x:row r="4">
      <x:c r="A4" s="7" t="str">
        <x:v>Secrets</x:v>
      </x:c>
      <x:c r="B4" s="7" t="str">
        <x:v>Hard-coded secrets and unsafe config</x:v>
      </x:c>
      <x:c r="C4" s="7" t="str">
        <x:v>Search for password, secret, token, api_key, private_key, connection strings. Confirm .env is ignored and sample env is provided.</x:v>
      </x:c>
      <x:c r="D4" s="7" t="str">
        <x:v>K-PR-02</x:v>
      </x:c>
    </x:row>
    <x:row r="5">
      <x:c r="A5" s="7" t="str">
        <x:v>Routes and sitemap</x:v>
      </x:c>
      <x:c r="B5" s="7" t="str">
        <x:v>Route list, pages, menus, sitemap.xml</x:v>
      </x:c>
      <x:c r="C5" s="7" t="str">
        <x:v>Export route list from framework if available; open /sitemap.xml; compare with required pages and main/secondary menus.</x:v>
      </x:c>
      <x:c r="D5" s="7" t="str">
        <x:v>K-UI, K-CONT, K-ACC</x:v>
      </x:c>
    </x:row>
    <x:row r="6">
      <x:c r="A6" s="7" t="str">
        <x:v>Localization</x:v>
      </x:c>
      <x:c r="B6" s="7" t="str">
        <x:v>Arabic/English translation coverage</x:v>
      </x:c>
      <x:c r="C6" s="7" t="str">
        <x:v>Search for lang, locale, i18n, translations. Verify html lang/dir and no hard-coded UI text in templates or JS.</x:v>
      </x:c>
      <x:c r="D6" s="7" t="str">
        <x:v>K-L10N</x:v>
      </x:c>
    </x:row>
    <x:row r="7">
      <x:c r="A7" s="7" t="str">
        <x:v>Templates/UI</x:v>
      </x:c>
      <x:c r="B7" s="7" t="str">
        <x:v>Header, footer, breadcrumb, menus, forms, policy links</x:v>
      </x:c>
      <x:c r="C7" s="7" t="str">
        <x:v>Inspect shared layout/template files and screenshots for Arabic + English desktop/mobile.</x:v>
      </x:c>
      <x:c r="D7" s="7" t="str">
        <x:v>K-UI, K-FORM, K-CONT</x:v>
      </x:c>
    </x:row>
    <x:row r="8">
      <x:c r="A8" s="7" t="str">
        <x:v>Accessibility</x:v>
      </x:c>
      <x:c r="B8" s="7" t="str">
        <x:v>Keyboard, ALT text, heading hierarchy, contrast</x:v>
      </x:c>
      <x:c r="C8" s="7" t="str">
        <x:v>Run browser accessibility/Lighthouse checks; manually test Tab navigation and form completion.</x:v>
      </x:c>
      <x:c r="D8" s="7" t="str">
        <x:v>K-ACC</x:v>
      </x:c>
    </x:row>
    <x:row r="9">
      <x:c r="A9" s="7" t="str">
        <x:v>Responsive</x:v>
      </x:c>
      <x:c r="B9" s="7" t="str">
        <x:v>Mobile/tablet screenshots and breakpoint checks</x:v>
      </x:c>
      <x:c r="C9" s="7" t="str">
        <x:v>Use browser dev tools for 390px, 768px, 1366px widths. Save screenshots for key pages.</x:v>
      </x:c>
      <x:c r="D9" s="7" t="str">
        <x:v>K-RESP</x:v>
      </x:c>
    </x:row>
    <x:row r="10">
      <x:c r="A10" s="7" t="str">
        <x:v>Performance</x:v>
      </x:c>
      <x:c r="B10" s="7" t="str">
        <x:v>Page weight, load time, TTFB, image sizes</x:v>
      </x:c>
      <x:c r="C10" s="7" t="str">
        <x:v>Use browser Network/Lighthouse; scan public/assets and uploads for large images.</x:v>
      </x:c>
      <x:c r="D10" s="7" t="str">
        <x:v>K-PERF</x:v>
      </x:c>
    </x:row>
    <x:row r="11">
      <x:c r="A11" s="7" t="str">
        <x:v>Security</x:v>
      </x:c>
      <x:c r="B11" s="7" t="str">
        <x:v>OWASP, CSRF, auth, session/cookies, headers, uploads</x:v>
      </x:c>
      <x:c r="C11" s="7" t="str">
        <x:v>Run dependency/SAST scan if available; manually test CSRF, upload restrictions, password policy, lockout, safe errors, response headers.</x:v>
      </x:c>
      <x:c r="D11" s="7" t="str">
        <x:v>K-SEC</x:v>
      </x:c>
    </x:row>
    <x:row r="12">
      <x:c r="A12" s="7" t="str">
        <x:v>APIs</x:v>
      </x:c>
      <x:c r="B12" s="7" t="str">
        <x:v>API docs, auth, validation, rate limits, logging</x:v>
      </x:c>
      <x:c r="C12" s="7" t="str">
        <x:v>Export OpenAPI/Postman collection if available; test expired token, invalid params, rate limit, sensitive data in URL/logs.</x:v>
      </x:c>
      <x:c r="D12" s="7" t="str">
        <x:v>K-SEC-09..K-SEC-11, K-INT</x:v>
      </x:c>
    </x:row>
    <x:row r="13">
      <x:c r="A13" s="7" t="str">
        <x:v>Forms/e-services</x:v>
      </x:c>
      <x:c r="B13" s="7" t="str">
        <x:v>Form intro, validation, attachments, confirmation/reference</x:v>
      </x:c>
      <x:c r="C13" s="7" t="str">
        <x:v>Complete each public form with valid/invalid data and record screenshots/messages/emails/SMS/ref numbers.</x:v>
      </x:c>
      <x:c r="D13" s="7" t="str">
        <x:v>K-FORM</x:v>
      </x:c>
    </x:row>
    <x:row r="14">
      <x:c r="A14" s="7" t="str">
        <x:v>CMS/admin</x:v>
      </x:c>
      <x:c r="B14" s="7" t="str">
        <x:v>Roles, workflow, versioning, scheduling, SEO, audit log</x:v>
      </x:c>
      <x:c r="C14" s="7" t="str">
        <x:v>Login as admin roles in dev; create/edit/schedule content and inspect audit logs.</x:v>
      </x:c>
      <x:c r="D14" s="7" t="str">
        <x:v>K-CONT-12, K-PR-09</x:v>
      </x:c>
    </x:row>
    <x:row r="15">
      <x:c r="A15" s="7" t="str">
        <x:v>Integration</x:v>
      </x:c>
      <x:c r="B15" s="7" t="str">
        <x:v>GSB/shared services/identity/payment/notification integration docs</x:v>
      </x:c>
      <x:c r="C15" s="7" t="str">
        <x:v>Collect API client code, endpoint config, service specs, retry/logging policy, SSO/OAuth/SAML docs.</x:v>
      </x:c>
      <x:c r="D15" s="7" t="str">
        <x:v>K-INT</x:v>
      </x:c>
    </x:row>
    <x:row r="16">
      <x:c r="A16" s="7" t="str">
        <x:v>Release readiness</x:v>
      </x:c>
      <x:c r="B16" s="7" t="str">
        <x:v>UAT, training, rollback, backup/restore, staging URL</x:v>
      </x:c>
      <x:c r="C16" s="7" t="str">
        <x:v>Collect UAT sign-off, test cases, release notes, deployment guide, backup restore proof.</x:v>
      </x:c>
      <x:c r="D16" s="7" t="str">
        <x:v>K-PR-10, K-INT-08, K-SEC-12</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95" hidden="0" customWidth="1"/>
  </x:cols>
  <x:sheetData>
    <x:row r="1" ht="28" customHeight="1">
      <x:c r="A1" s="6" t="str">
        <x:v>Kinjo Development Match / Mismatch Checklist</x:v>
      </x:c>
      <x:c r="B1" s="6" t="str"/>
    </x:row>
    <x:row r="2">
      <x:c r="A2" s="7" t="str">
        <x:v>Generated on</x:v>
      </x:c>
      <x:c r="B2" s="7" t="str">
        <x:v>2026-06-16 17:19</x:v>
      </x:c>
    </x:row>
    <x:row r="3">
      <x:c r="A3" s="7" t="str">
        <x:v>Project path to audit</x:v>
      </x:c>
      <x:c r="B3" s="7" t="str">
        <x:v>D:\Final Version</x:v>
      </x:c>
    </x:row>
    <x:row r="4">
      <x:c r="A4" s="7" t="str">
        <x:v>Purpose</x:v>
      </x:c>
      <x:c r="B4" s="7" t="str">
        <x:v>Use this workbook to compare Kinjo against the uploaded Jordan e-government implementation and government website standards while the project is still in development.</x:v>
      </x:c>
    </x:row>
    <x:row r="5">
      <x:c r="A5" s="7" t="str">
        <x:v>Status values</x:v>
      </x:c>
      <x:c r="B5" s="7" t="str">
        <x:v>Not checked, Match, Partial, Mismatch, N/A, Deferred</x:v>
      </x:c>
    </x:row>
    <x:row r="6">
      <x:c r="A6" s="7" t="str">
        <x:v>How to use</x:v>
      </x:c>
      <x:c r="B6" s="7" t="str">
        <x:v>Start with 'Kinjo Audit Checklist'. Mark status, write evidence path/screenshots, gap notes, owner, and next action. Use 'Full GWS Checklist' for full government website standard coverage.</x:v>
      </x:c>
    </x:row>
    <x:row r="7">
      <x:c r="A7" s="7" t="str">
        <x:v>Important limitation</x:v>
      </x:c>
      <x:c r="B7" s="7" t="str">
        <x:v>The local Windows path D:\Final Version is not accessible inside ChatGPT. Upload a zipped copy of the project to allow automatic inspection and pre-filled evidence/gap findings.</x:v>
      </x:c>
    </x:row>
    <x:row r="8">
      <x:c r="A8" s="7" t="str">
        <x:v>Source package</x:v>
      </x:c>
      <x:c r="B8" s="7" t="str">
        <x:v>Government_Implementation_FrameWork.zip</x:v>
      </x:c>
    </x:row>
    <x:row r="9">
      <x:c r="A9" s="7" t="str">
        <x:v>Source file</x:v>
      </x:c>
      <x:c r="B9" s="7" t="str">
        <x:v>gws_checklist_2019-modee-v6.0-en-1.pdf - full government website checklist</x:v>
      </x:c>
    </x:row>
    <x:row r="10">
      <x:c r="A10" s="7" t="str">
        <x:v>Source file</x:v>
      </x:c>
      <x:c r="B10" s="7" t="str">
        <x:v>government_websites_guidelines_2022_v2.0_-en.pdf - detailed website guidelines</x:v>
      </x:c>
    </x:row>
    <x:row r="11">
      <x:c r="A11" s="7" t="str">
        <x:v>Source file</x:v>
      </x:c>
      <x:c r="B11" s="7" t="str">
        <x:v>E-Government-Implementation-Framework.pdf - architecture/SOA/GSB/shared services framework</x:v>
      </x:c>
    </x:row>
    <x:row r="12">
      <x:c r="A12" s="7" t="str">
        <x:v>Source file</x:v>
      </x:c>
      <x:c r="B12" s="7" t="str">
        <x:v>Government_Service_Bus.pdf - GSB integration alternatives and decoupling</x:v>
      </x:c>
    </x:row>
    <x:row r="13">
      <x:c r="A13" s="7" t="str">
        <x:v>Source file</x:v>
      </x:c>
      <x:c r="B13" s="7" t="str">
        <x:v>AnnexE-Government_Program_Background_and_Implementation_Framework.pdf - program/project/change/security context</x:v>
      </x:c>
    </x:row>
    <x:row r="14">
      <x:c r="A14" s="7" t="str">
        <x:v>Source file</x:v>
      </x:c>
      <x:c r="B14" s="7" t="str">
        <x:v>5.9. E-Government Implementation Framework.pdf - project/RFP implementation context</x:v>
      </x:c>
    </x:row>
    <x:row r="15">
      <x:c r="A15" s="7" t="str">
        <x:v>Recommended order</x:v>
      </x:c>
      <x:c r="B15" s="7" t="str">
        <x:v>1) Development gates, 2) Security/API, 3) Arabic/localization, 4) Forms/e-services, 5) Responsive/performance, 6) Full GWS coverage.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3" t="str">
        <x:v>Status</x:v>
      </x:c>
      <x:c r="B1" s="3"/>
      <x:c r="C1" s="3" t="str">
        <x:v>Priority</x:v>
      </x:c>
      <x:c r="D1" s="3"/>
      <x:c r="E1" s="3" t="str">
        <x:v>Phase</x:v>
      </x:c>
    </x:row>
    <x:row r="2">
      <x:c r="A2" t="str">
        <x:v>Not checked</x:v>
      </x:c>
      <x:c r="C2" t="str">
        <x:v>Critical</x:v>
      </x:c>
      <x:c r="E2" t="str">
        <x:v>Architecture</x:v>
      </x:c>
    </x:row>
    <x:row r="3">
      <x:c r="A3" t="str">
        <x:v>Match</x:v>
      </x:c>
      <x:c r="C3" t="str">
        <x:v>High</x:v>
      </x:c>
      <x:c r="E3" t="str">
        <x:v>Development</x:v>
      </x:c>
    </x:row>
    <x:row r="4">
      <x:c r="A4" t="str">
        <x:v>Partial</x:v>
      </x:c>
      <x:c r="C4" t="str">
        <x:v>Medium</x:v>
      </x:c>
      <x:c r="E4" t="str">
        <x:v>Development gate</x:v>
      </x:c>
    </x:row>
    <x:row r="5">
      <x:c r="A5" t="str">
        <x:v>Mismatch</x:v>
      </x:c>
      <x:c r="C5" t="str">
        <x:v>Low</x:v>
      </x:c>
      <x:c r="E5" t="str">
        <x:v>Pre-release</x:v>
      </x:c>
    </x:row>
    <x:row r="6">
      <x:c r="A6" t="str">
        <x:v>N/A</x:v>
      </x:c>
      <x:c r="E6" t="str">
        <x:v>Post-release</x:v>
      </x:c>
    </x:row>
    <x:row r="7">
      <x:c r="A7" t="str">
        <x:v>Deferred</x:v>
      </x:c>
    </x:row>
  </x:sheetData>
  <x:pageMargins left="0.7" right="0.7" top="0.75" bottom="0.75" header="0.3" footer="0.3"/>
</x:worksheet>
</file>